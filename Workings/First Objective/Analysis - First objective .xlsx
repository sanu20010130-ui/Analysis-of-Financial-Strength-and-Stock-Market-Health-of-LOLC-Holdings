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" sheetId="1" r:id="rId4"/>
    <sheet state="visible" name="Net Income" sheetId="2" r:id="rId5"/>
    <sheet state="visible" name="Liability" sheetId="3" r:id="rId6"/>
    <sheet state="visible" name="Sheet4" sheetId="4" r:id="rId7"/>
    <sheet state="visible" name="Assets " sheetId="5" r:id="rId8"/>
    <sheet state="visible" name="Equity" sheetId="6" r:id="rId9"/>
    <sheet state="visible" name="Sheet9" sheetId="7" r:id="rId10"/>
    <sheet state="visible" name="Group - Quarterly" sheetId="8" r:id="rId11"/>
    <sheet state="visible" name="Assets Turn Over" sheetId="9" r:id="rId12"/>
    <sheet state="visible" name="Debt To Equity" sheetId="10" r:id="rId13"/>
    <sheet state="visible" name="Gross Profit Margin" sheetId="11" r:id="rId14"/>
    <sheet state="visible" name="Net Profit Margin" sheetId="12" r:id="rId15"/>
    <sheet state="visible" name="Group Annually" sheetId="13" r:id="rId16"/>
    <sheet state="visible" name="Company - Quarterly" sheetId="14" r:id="rId17"/>
    <sheet state="visible" name=" Company Annually" sheetId="15" r:id="rId18"/>
  </sheets>
  <definedNames/>
  <calcPr/>
  <extLst>
    <ext uri="GoogleSheetsCustomDataVersion2">
      <go:sheetsCustomData xmlns:go="http://customooxmlschemas.google.com/" r:id="rId19" roundtripDataChecksum="rftlEsRcGpvM87Img2gJXkwsEtuuYfF51x0dJRvznvM="/>
    </ext>
  </extLst>
</workbook>
</file>

<file path=xl/sharedStrings.xml><?xml version="1.0" encoding="utf-8"?>
<sst xmlns="http://schemas.openxmlformats.org/spreadsheetml/2006/main" count="150" uniqueCount="97">
  <si>
    <t>Quarters</t>
  </si>
  <si>
    <t>Revenue</t>
  </si>
  <si>
    <t>Forecast(Revenue)</t>
  </si>
  <si>
    <t>Lower Confidence Bound(Revenue)</t>
  </si>
  <si>
    <t xml:space="preserve"> 95% Confidence Band</t>
  </si>
  <si>
    <t>Net Income</t>
  </si>
  <si>
    <t>Forecast(Net Income)</t>
  </si>
  <si>
    <t>Lower Confidence Bound(Net Income)</t>
  </si>
  <si>
    <t>Total Liabilities</t>
  </si>
  <si>
    <t>Forecast(Total Liabilities)</t>
  </si>
  <si>
    <t>Lower Confidence Bound(Total Liabilities)</t>
  </si>
  <si>
    <t>95% Confidence Band</t>
  </si>
  <si>
    <t>Grossprofit</t>
  </si>
  <si>
    <t>Forecast(Grossprofit)</t>
  </si>
  <si>
    <t>Lower Confidence Bound(Grossprofit)</t>
  </si>
  <si>
    <t>Upper Confidence Bound(Grossprofit)</t>
  </si>
  <si>
    <t>Total Assets</t>
  </si>
  <si>
    <t>Forecast(Total Assets)</t>
  </si>
  <si>
    <t>Lower Confidence Bound(Total Assets)</t>
  </si>
  <si>
    <t>Total Equity</t>
  </si>
  <si>
    <t>Forecast(Total Equity)</t>
  </si>
  <si>
    <t>Lower Confidence Bound(Total Equity)</t>
  </si>
  <si>
    <t>Assets Turn Over Ratio</t>
  </si>
  <si>
    <t>Forecast(Assets Turn Over Ratio)</t>
  </si>
  <si>
    <t>Lower Confidence Bound(Assets Turn Over Ratio)</t>
  </si>
  <si>
    <t>Upper Confidence Bound(Assets Turn Over Ratio)</t>
  </si>
  <si>
    <t>LOLC HOLDINGS ( Group)</t>
  </si>
  <si>
    <t>Current Ratio</t>
  </si>
  <si>
    <t>Debt to equity Ratio</t>
  </si>
  <si>
    <t>Gross profit Margin</t>
  </si>
  <si>
    <t>Net Profit Margin</t>
  </si>
  <si>
    <t>year</t>
  </si>
  <si>
    <t>Forecast(Debt to equity Ratio)</t>
  </si>
  <si>
    <t>Lower Confidence Bound(Debt to equity Ratio)</t>
  </si>
  <si>
    <t>Forecast(Gross profit Margin)</t>
  </si>
  <si>
    <t>Lower Confidence Bound(Gross profit Margin)</t>
  </si>
  <si>
    <t>Forecast(Net Profit Margin)</t>
  </si>
  <si>
    <t>Lower Confidence Bound(Net Profit Margin)</t>
  </si>
  <si>
    <t>LOLC HOLDINGS ( Company)</t>
  </si>
  <si>
    <t>Investments in group of companies; Subsidiary Companies</t>
  </si>
  <si>
    <t>Gross Income</t>
  </si>
  <si>
    <t>Gross Profit</t>
  </si>
  <si>
    <t>Asset Turnover Margin</t>
  </si>
  <si>
    <t>Debt to Equity Ratio</t>
  </si>
  <si>
    <t>No of Branches</t>
  </si>
  <si>
    <t>Average Stock price within the year</t>
  </si>
  <si>
    <t>Highest Stock Price within the year</t>
  </si>
  <si>
    <t>Lowest Stock Price within the year</t>
  </si>
  <si>
    <t>Stock Volume</t>
  </si>
  <si>
    <t>Return on equity (ROE)</t>
  </si>
  <si>
    <t>Earnings per share(EPS)</t>
  </si>
  <si>
    <t>2014-March</t>
  </si>
  <si>
    <t>2014 June</t>
  </si>
  <si>
    <t>2014-September</t>
  </si>
  <si>
    <t>2014-December</t>
  </si>
  <si>
    <t>2015-March</t>
  </si>
  <si>
    <t>2015 June</t>
  </si>
  <si>
    <t>2015-September</t>
  </si>
  <si>
    <t>2015-December</t>
  </si>
  <si>
    <t>2016-March</t>
  </si>
  <si>
    <t>2016 June</t>
  </si>
  <si>
    <t>2016-September</t>
  </si>
  <si>
    <t>2016-December</t>
  </si>
  <si>
    <t>2017-March</t>
  </si>
  <si>
    <t>2017-June</t>
  </si>
  <si>
    <t>2017-September</t>
  </si>
  <si>
    <t>2017-December</t>
  </si>
  <si>
    <t>2018-March</t>
  </si>
  <si>
    <t>2018-June</t>
  </si>
  <si>
    <t>2018-September</t>
  </si>
  <si>
    <t>2018-December</t>
  </si>
  <si>
    <t>2019-March</t>
  </si>
  <si>
    <t>2019-June</t>
  </si>
  <si>
    <t>2019-September</t>
  </si>
  <si>
    <t>2019-December</t>
  </si>
  <si>
    <t>2020-March</t>
  </si>
  <si>
    <t>2020-June</t>
  </si>
  <si>
    <t>2020-September</t>
  </si>
  <si>
    <t>2020-December</t>
  </si>
  <si>
    <t>2021-March</t>
  </si>
  <si>
    <t>2021-June</t>
  </si>
  <si>
    <t>2021-September</t>
  </si>
  <si>
    <t>2021-December</t>
  </si>
  <si>
    <t>2022-March</t>
  </si>
  <si>
    <t>2022-June</t>
  </si>
  <si>
    <t>2022-September</t>
  </si>
  <si>
    <t>2022-December</t>
  </si>
  <si>
    <t>2023-March</t>
  </si>
  <si>
    <t>2023-June</t>
  </si>
  <si>
    <t>2023-September</t>
  </si>
  <si>
    <t>2023-December</t>
  </si>
  <si>
    <t>2024-March</t>
  </si>
  <si>
    <t>Year</t>
  </si>
  <si>
    <t>Net income (NPAT)</t>
  </si>
  <si>
    <t>Annual revenue</t>
  </si>
  <si>
    <t>Total liabilities</t>
  </si>
  <si>
    <t>Debt to equity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</si>
</sst>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mm"/>
    <numFmt numFmtId="165" formatCode="0.00000%"/>
    <numFmt numFmtId="166" formatCode="0.0000%"/>
    <numFmt numFmtId="167" formatCode="yyyy\ mmm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sz val="9.0"/>
      <color theme="1"/>
      <name val="Arial"/>
    </font>
    <font>
      <sz val="9.0"/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8.0"/>
      <color rgb="FF000000"/>
      <name val="Arial"/>
    </font>
    <font>
      <sz val="10.0"/>
      <color rgb="FF000000"/>
      <name val="Bahnschrift"/>
    </font>
    <font>
      <sz val="10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2D050"/>
        <bgColor rgb="FF92D050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9CC2E5"/>
        <bgColor rgb="FF9CC2E5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2" xfId="0" applyFont="1" applyNumberForma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Border="1" applyFill="1" applyFont="1"/>
    <xf borderId="5" fillId="4" fontId="6" numFmtId="0" xfId="0" applyAlignment="1" applyBorder="1" applyFill="1" applyFont="1">
      <alignment horizontal="center"/>
    </xf>
    <xf borderId="4" fillId="5" fontId="6" numFmtId="0" xfId="0" applyAlignment="1" applyBorder="1" applyFill="1" applyFont="1">
      <alignment horizontal="center"/>
    </xf>
    <xf borderId="4" fillId="6" fontId="6" numFmtId="0" xfId="0" applyAlignment="1" applyBorder="1" applyFill="1" applyFont="1">
      <alignment horizontal="center"/>
    </xf>
    <xf borderId="4" fillId="6" fontId="6" numFmtId="0" xfId="0" applyAlignment="1" applyBorder="1" applyFont="1">
      <alignment horizontal="center" shrinkToFit="0" wrapText="1"/>
    </xf>
    <xf borderId="4" fillId="6" fontId="6" numFmtId="165" xfId="0" applyAlignment="1" applyBorder="1" applyFont="1" applyNumberFormat="1">
      <alignment horizontal="center"/>
    </xf>
    <xf borderId="4" fillId="6" fontId="6" numFmtId="166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5" fillId="7" fontId="8" numFmtId="164" xfId="0" applyAlignment="1" applyBorder="1" applyFill="1" applyFont="1" applyNumberFormat="1">
      <alignment horizontal="left"/>
    </xf>
    <xf borderId="0" fillId="0" fontId="5" numFmtId="3" xfId="0" applyFont="1" applyNumberFormat="1"/>
    <xf borderId="0" fillId="0" fontId="5" numFmtId="0" xfId="0" applyFont="1"/>
    <xf borderId="0" fillId="0" fontId="5" numFmtId="165" xfId="0" applyFont="1" applyNumberFormat="1"/>
    <xf borderId="0" fillId="0" fontId="5" numFmtId="166" xfId="0" applyFont="1" applyNumberFormat="1"/>
    <xf borderId="5" fillId="0" fontId="8" numFmtId="167" xfId="0" applyAlignment="1" applyBorder="1" applyFont="1" applyNumberFormat="1">
      <alignment horizontal="left"/>
    </xf>
    <xf borderId="0" fillId="0" fontId="5" numFmtId="0" xfId="0" applyAlignment="1" applyFont="1">
      <alignment horizontal="left"/>
    </xf>
    <xf borderId="0" fillId="0" fontId="2" numFmtId="0" xfId="0" applyFont="1"/>
    <xf borderId="6" fillId="2" fontId="9" numFmtId="0" xfId="0" applyAlignment="1" applyBorder="1" applyFont="1">
      <alignment horizontal="left" shrinkToFit="0" wrapText="1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left" shrinkToFit="0" wrapText="1"/>
    </xf>
    <xf borderId="10" fillId="4" fontId="9" numFmtId="0" xfId="0" applyAlignment="1" applyBorder="1" applyFont="1">
      <alignment horizontal="left" shrinkToFit="0" vertical="center" wrapText="1"/>
    </xf>
    <xf borderId="9" fillId="5" fontId="9" numFmtId="0" xfId="0" applyAlignment="1" applyBorder="1" applyFont="1">
      <alignment horizontal="left" shrinkToFit="0" vertical="center" wrapText="1"/>
    </xf>
    <xf borderId="9" fillId="8" fontId="9" numFmtId="0" xfId="0" applyAlignment="1" applyBorder="1" applyFill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9" fillId="0" fontId="2" numFmtId="3" xfId="0" applyAlignment="1" applyBorder="1" applyFont="1" applyNumberFormat="1">
      <alignment horizontal="left" shrinkToFit="0" wrapText="1"/>
    </xf>
    <xf borderId="6" fillId="2" fontId="9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11" fillId="6" fontId="9" numFmtId="0" xfId="0" applyAlignment="1" applyBorder="1" applyFont="1">
      <alignment horizontal="center" shrinkToFit="0" vertical="center" wrapText="1"/>
    </xf>
    <xf borderId="10" fillId="7" fontId="9" numFmtId="0" xfId="0" applyAlignment="1" applyBorder="1" applyFont="1">
      <alignment shrinkToFit="0" wrapText="1"/>
    </xf>
    <xf borderId="11" fillId="3" fontId="2" numFmtId="3" xfId="0" applyAlignment="1" applyBorder="1" applyFont="1" applyNumberFormat="1">
      <alignment horizontal="left" shrinkToFit="0" wrapText="1"/>
    </xf>
    <xf borderId="11" fillId="3" fontId="2" numFmtId="4" xfId="0" applyAlignment="1" applyBorder="1" applyFont="1" applyNumberFormat="1">
      <alignment horizontal="right" shrinkToFit="0" wrapText="1"/>
    </xf>
    <xf borderId="11" fillId="3" fontId="2" numFmtId="3" xfId="0" applyAlignment="1" applyBorder="1" applyFont="1" applyNumberFormat="1">
      <alignment horizontal="right" shrinkToFit="0" wrapText="1"/>
    </xf>
    <xf borderId="11" fillId="0" fontId="2" numFmtId="3" xfId="0" applyAlignment="1" applyBorder="1" applyFont="1" applyNumberFormat="1">
      <alignment horizontal="right" shrinkToFit="0" wrapText="1"/>
    </xf>
    <xf borderId="11" fillId="0" fontId="2" numFmtId="0" xfId="0" applyAlignment="1" applyBorder="1" applyFont="1">
      <alignment horizontal="right" shrinkToFit="0" wrapText="1"/>
    </xf>
    <xf borderId="12" fillId="0" fontId="2" numFmtId="0" xfId="0" applyAlignment="1" applyBorder="1" applyFont="1">
      <alignment horizontal="right" shrinkToFit="0" vertical="center" wrapText="1"/>
    </xf>
    <xf borderId="12" fillId="0" fontId="2" numFmtId="3" xfId="0" applyAlignment="1" applyBorder="1" applyFont="1" applyNumberFormat="1">
      <alignment horizontal="right" shrinkToFit="0" vertical="center" wrapText="1"/>
    </xf>
    <xf borderId="9" fillId="0" fontId="2" numFmtId="0" xfId="0" applyAlignment="1" applyBorder="1" applyFont="1">
      <alignment shrinkToFit="0" wrapText="1"/>
    </xf>
    <xf borderId="13" fillId="0" fontId="4" numFmtId="0" xfId="0" applyBorder="1" applyFont="1"/>
    <xf borderId="14" fillId="0" fontId="2" numFmtId="3" xfId="0" applyAlignment="1" applyBorder="1" applyFont="1" applyNumberFormat="1">
      <alignment horizontal="right" shrinkToFit="0" wrapText="1"/>
    </xf>
    <xf borderId="15" fillId="0" fontId="4" numFmtId="0" xfId="0" applyBorder="1" applyFont="1"/>
    <xf borderId="16" fillId="0" fontId="2" numFmtId="3" xfId="0" applyAlignment="1" applyBorder="1" applyFont="1" applyNumberFormat="1">
      <alignment horizontal="left" shrinkToFit="0" wrapText="1"/>
    </xf>
    <xf borderId="11" fillId="0" fontId="2" numFmtId="4" xfId="0" applyAlignment="1" applyBorder="1" applyFont="1" applyNumberFormat="1">
      <alignment horizontal="right" shrinkToFit="0" wrapText="1"/>
    </xf>
    <xf borderId="11" fillId="9" fontId="2" numFmtId="4" xfId="0" applyAlignment="1" applyBorder="1" applyFill="1" applyFont="1" applyNumberFormat="1">
      <alignment horizontal="right" shrinkToFit="0" wrapText="1"/>
    </xf>
    <xf borderId="12" fillId="0" fontId="2" numFmtId="4" xfId="0" applyAlignment="1" applyBorder="1" applyFont="1" applyNumberFormat="1">
      <alignment horizontal="right" shrinkToFit="0" vertical="center" wrapText="1"/>
    </xf>
    <xf borderId="12" fillId="0" fontId="2" numFmtId="0" xfId="0" applyAlignment="1" applyBorder="1" applyFont="1">
      <alignment shrinkToFit="0" wrapText="1"/>
    </xf>
    <xf borderId="11" fillId="0" fontId="2" numFmtId="3" xfId="0" applyAlignment="1" applyBorder="1" applyFont="1" applyNumberFormat="1">
      <alignment horizontal="left" shrinkToFit="0" wrapText="1"/>
    </xf>
    <xf borderId="0" fillId="0" fontId="10" numFmtId="0" xfId="0" applyFont="1"/>
    <xf borderId="0" fillId="0" fontId="2" numFmtId="0" xfId="0" applyAlignment="1" applyFont="1">
      <alignment horizontal="left"/>
    </xf>
    <xf borderId="17" fillId="10" fontId="11" numFmtId="0" xfId="0" applyAlignment="1" applyBorder="1" applyFill="1" applyFont="1">
      <alignment horizontal="left" shrinkToFit="0" vertical="center" wrapText="1"/>
    </xf>
    <xf borderId="18" fillId="10" fontId="2" numFmtId="0" xfId="0" applyAlignment="1" applyBorder="1" applyFont="1">
      <alignment horizontal="left" shrinkToFit="0" vertical="center" wrapText="1"/>
    </xf>
    <xf borderId="18" fillId="10" fontId="2" numFmtId="0" xfId="0" applyAlignment="1" applyBorder="1" applyFont="1">
      <alignment horizontal="left" readingOrder="0" shrinkToFit="0" vertical="center" wrapText="1"/>
    </xf>
    <xf borderId="9" fillId="0" fontId="12" numFmtId="0" xfId="0" applyAlignment="1" applyBorder="1" applyFont="1">
      <alignment horizontal="left" shrinkToFit="0" wrapText="1"/>
    </xf>
    <xf borderId="10" fillId="11" fontId="12" numFmtId="0" xfId="0" applyAlignment="1" applyBorder="1" applyFill="1" applyFont="1">
      <alignment horizontal="left" shrinkToFit="0" vertical="center" wrapText="1"/>
    </xf>
    <xf borderId="11" fillId="0" fontId="12" numFmtId="3" xfId="0" applyAlignment="1" applyBorder="1" applyFont="1" applyNumberFormat="1">
      <alignment horizontal="left" shrinkToFit="0" vertical="center" wrapText="1"/>
    </xf>
    <xf borderId="11" fillId="0" fontId="12" numFmtId="0" xfId="0" applyAlignment="1" applyBorder="1" applyFont="1">
      <alignment horizontal="left" shrinkToFit="0" vertical="center" wrapText="1"/>
    </xf>
    <xf borderId="11" fillId="0" fontId="12" numFmtId="3" xfId="0" applyAlignment="1" applyBorder="1" applyFont="1" applyNumberFormat="1">
      <alignment horizontal="left" shrinkToFit="0" wrapText="1"/>
    </xf>
    <xf borderId="11" fillId="0" fontId="12" numFmtId="0" xfId="0" applyAlignment="1" applyBorder="1" applyFont="1">
      <alignment horizontal="left" shrinkToFit="0" wrapText="1"/>
    </xf>
    <xf borderId="11" fillId="0" fontId="12" numFmtId="3" xfId="0" applyAlignment="1" applyBorder="1" applyFont="1" applyNumberFormat="1">
      <alignment horizontal="left" shrinkToFit="0" vertical="top" wrapText="1"/>
    </xf>
    <xf borderId="0" fillId="0" fontId="1" numFmtId="3" xfId="0" applyFont="1" applyNumberForma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</dxfs>
  <tableStyles count="11">
    <tableStyle count="3" pivot="0" name="Revenue-style">
      <tableStyleElement dxfId="1" type="headerRow"/>
      <tableStyleElement dxfId="2" type="firstRowStripe"/>
      <tableStyleElement dxfId="3" type="secondRowStripe"/>
    </tableStyle>
    <tableStyle count="3" pivot="0" name="Net Income-style">
      <tableStyleElement dxfId="1" type="headerRow"/>
      <tableStyleElement dxfId="2" type="firstRowStripe"/>
      <tableStyleElement dxfId="3" type="secondRowStripe"/>
    </tableStyle>
    <tableStyle count="3" pivot="0" name="Liability-style">
      <tableStyleElement dxfId="1" type="headerRow"/>
      <tableStyleElement dxfId="2" type="firstRowStripe"/>
      <tableStyleElement dxfId="3" type="secondRowStripe"/>
    </tableStyle>
    <tableStyle count="3" pivot="0" name="Sheet4-style">
      <tableStyleElement dxfId="1" type="headerRow"/>
      <tableStyleElement dxfId="2" type="firstRowStripe"/>
      <tableStyleElement dxfId="3" type="secondRowStripe"/>
    </tableStyle>
    <tableStyle count="3" pivot="0" name="Assets -style">
      <tableStyleElement dxfId="1" type="headerRow"/>
      <tableStyleElement dxfId="2" type="firstRowStripe"/>
      <tableStyleElement dxfId="3" type="secondRowStripe"/>
    </tableStyle>
    <tableStyle count="3" pivot="0" name="Equity-style">
      <tableStyleElement dxfId="1" type="headerRow"/>
      <tableStyleElement dxfId="2" type="firstRowStripe"/>
      <tableStyleElement dxfId="3" type="secondRowStripe"/>
    </tableStyle>
    <tableStyle count="3" pivot="0" name="Sheet9-style">
      <tableStyleElement dxfId="1" type="headerRow"/>
      <tableStyleElement dxfId="2" type="firstRowStripe"/>
      <tableStyleElement dxfId="3" type="secondRowStripe"/>
    </tableStyle>
    <tableStyle count="3" pivot="0" name="Assets Turn Over-style">
      <tableStyleElement dxfId="1" type="headerRow"/>
      <tableStyleElement dxfId="2" type="firstRowStripe"/>
      <tableStyleElement dxfId="3" type="secondRowStripe"/>
    </tableStyle>
    <tableStyle count="3" pivot="0" name="Debt To Equity-style">
      <tableStyleElement dxfId="1" type="headerRow"/>
      <tableStyleElement dxfId="2" type="firstRowStripe"/>
      <tableStyleElement dxfId="3" type="secondRowStripe"/>
    </tableStyle>
    <tableStyle count="3" pivot="0" name="Gross Profit Margin-style">
      <tableStyleElement dxfId="1" type="headerRow"/>
      <tableStyleElement dxfId="2" type="firstRowStripe"/>
      <tableStyleElement dxfId="3" type="secondRowStripe"/>
    </tableStyle>
    <tableStyle count="3" pivot="0" name="Net Profit Margi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+mn-lt"/>
              </a:defRPr>
            </a:pPr>
            <a:r>
              <a:rPr b="0" i="0" sz="1200">
                <a:solidFill>
                  <a:srgbClr val="757575"/>
                </a:solidFill>
                <a:latin typeface="+mn-lt"/>
              </a:rPr>
              <a:t>Revenue Over Time: March 2014 to Forecasted March 2029</a:t>
            </a:r>
          </a:p>
        </c:rich>
      </c:tx>
      <c:layout>
        <c:manualLayout>
          <c:xMode val="edge"/>
          <c:yMode val="edge"/>
          <c:x val="0.12632979271321726"/>
          <c:y val="0.04182078030566081"/>
        </c:manualLayout>
      </c:layout>
      <c:overlay val="0"/>
    </c:title>
    <c:plotArea>
      <c:layout>
        <c:manualLayout>
          <c:xMode val="edge"/>
          <c:yMode val="edge"/>
          <c:x val="0.07738259561153889"/>
          <c:y val="0.15414662448179683"/>
          <c:w val="0.8989181487090415"/>
          <c:h val="0.4921337416921996"/>
        </c:manualLayout>
      </c:layout>
      <c:lineChart>
        <c:ser>
          <c:idx val="0"/>
          <c:order val="0"/>
          <c:tx>
            <c:v>Revenue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Revenue!$A$2:$A$63</c:f>
            </c:strRef>
          </c:cat>
          <c:val>
            <c:numRef>
              <c:f>Revenue!$B$2:$B$63</c:f>
              <c:numCache/>
            </c:numRef>
          </c:val>
          <c:smooth val="0"/>
        </c:ser>
        <c:ser>
          <c:idx val="1"/>
          <c:order val="1"/>
          <c:tx>
            <c:v>Forecast(Revenue)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Revenue!$A$2:$A$63</c:f>
            </c:strRef>
          </c:cat>
          <c:val>
            <c:numRef>
              <c:f>Revenue!$C$2:$C$63</c:f>
              <c:numCache/>
            </c:numRef>
          </c:val>
          <c:smooth val="0"/>
        </c:ser>
        <c:ser>
          <c:idx val="2"/>
          <c:order val="2"/>
          <c:tx>
            <c:v>Lower Confidence Bound(Revenue)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Revenue!$A$2:$A$63</c:f>
            </c:strRef>
          </c:cat>
          <c:val>
            <c:numRef>
              <c:f>Revenue!$D$2:$D$63</c:f>
              <c:numCache/>
            </c:numRef>
          </c:val>
          <c:smooth val="0"/>
        </c:ser>
        <c:ser>
          <c:idx val="3"/>
          <c:order val="3"/>
          <c:tx>
            <c:v> 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Revenue!$A$2:$A$63</c:f>
            </c:strRef>
          </c:cat>
          <c:val>
            <c:numRef>
              <c:f>Revenue!$E$2:$E$63</c:f>
              <c:numCache/>
            </c:numRef>
          </c:val>
          <c:smooth val="0"/>
        </c:ser>
        <c:axId val="1666016479"/>
        <c:axId val="652760911"/>
      </c:lineChart>
      <c:catAx>
        <c:axId val="1666016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layout>
            <c:manualLayout>
              <c:xMode val="edge"/>
              <c:yMode val="edge"/>
              <c:x val="0.46868579527981413"/>
              <c:y val="0.8452016561240356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652760911"/>
      </c:catAx>
      <c:valAx>
        <c:axId val="652760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0.007135678655480819"/>
              <c:y val="0.3659469245208009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666016479"/>
      </c:valAx>
    </c:plotArea>
    <c:legend>
      <c:legendPos val="b"/>
      <c:layout>
        <c:manualLayout>
          <c:xMode val="edge"/>
          <c:yMode val="edge"/>
          <c:x val="0.026164155070096336"/>
          <c:y val="0.9193664860077395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000">
                <a:solidFill>
                  <a:srgbClr val="757575"/>
                </a:solidFill>
                <a:latin typeface="+mn-lt"/>
              </a:defRPr>
            </a:pPr>
            <a:r>
              <a:rPr b="0" i="0" sz="1000">
                <a:solidFill>
                  <a:srgbClr val="757575"/>
                </a:solidFill>
                <a:latin typeface="+mn-lt"/>
              </a:rPr>
              <a:t>Net Income Over Time: March 2014 to Forecasted March 2029</a:t>
            </a:r>
          </a:p>
        </c:rich>
      </c:tx>
      <c:layout>
        <c:manualLayout>
          <c:xMode val="edge"/>
          <c:yMode val="edge"/>
          <c:x val="0.15692963045762084"/>
          <c:y val="0.022887428909376117"/>
        </c:manualLayout>
      </c:layout>
      <c:overlay val="0"/>
    </c:title>
    <c:plotArea>
      <c:layout>
        <c:manualLayout>
          <c:xMode val="edge"/>
          <c:yMode val="edge"/>
          <c:x val="0.09152071914185182"/>
          <c:y val="0.1348071481583768"/>
          <c:w val="0.877044452973351"/>
          <c:h val="0.47494465283992565"/>
        </c:manualLayout>
      </c:layout>
      <c:lineChart>
        <c:ser>
          <c:idx val="0"/>
          <c:order val="0"/>
          <c:tx>
            <c:v>Net Income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'Net Income'!$A$2:$A$63</c:f>
            </c:strRef>
          </c:cat>
          <c:val>
            <c:numRef>
              <c:f>'Net Income'!$B$2:$B$63</c:f>
              <c:numCache/>
            </c:numRef>
          </c:val>
          <c:smooth val="0"/>
        </c:ser>
        <c:ser>
          <c:idx val="1"/>
          <c:order val="1"/>
          <c:tx>
            <c:v>Forecast(Net Income)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'Net Income'!$A$2:$A$63</c:f>
            </c:strRef>
          </c:cat>
          <c:val>
            <c:numRef>
              <c:f>'Net Income'!$C$2:$C$63</c:f>
              <c:numCache/>
            </c:numRef>
          </c:val>
          <c:smooth val="0"/>
        </c:ser>
        <c:ser>
          <c:idx val="2"/>
          <c:order val="2"/>
          <c:tx>
            <c:v>Lower Confidence Bound(Net Income)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'Net Income'!$A$2:$A$63</c:f>
            </c:strRef>
          </c:cat>
          <c:val>
            <c:numRef>
              <c:f>'Net Income'!$D$2:$D$63</c:f>
              <c:numCache/>
            </c:numRef>
          </c:val>
          <c:smooth val="0"/>
        </c:ser>
        <c:ser>
          <c:idx val="3"/>
          <c:order val="3"/>
          <c:tx>
            <c:v> 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'Net Income'!$A$2:$A$63</c:f>
            </c:strRef>
          </c:cat>
          <c:val>
            <c:numRef>
              <c:f>'Net Income'!$E$2:$E$63</c:f>
              <c:numCache/>
            </c:numRef>
          </c:val>
          <c:smooth val="0"/>
        </c:ser>
        <c:axId val="223805263"/>
        <c:axId val="1873670572"/>
      </c:lineChart>
      <c:catAx>
        <c:axId val="22380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layout>
            <c:manualLayout>
              <c:xMode val="edge"/>
              <c:yMode val="edge"/>
              <c:x val="0.41176806459641396"/>
              <c:y val="0.844448984893544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873670572"/>
      </c:catAx>
      <c:valAx>
        <c:axId val="1873670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+mn-lt"/>
                  </a:rPr>
                  <a:t>Net income</a:t>
                </a:r>
              </a:p>
            </c:rich>
          </c:tx>
          <c:layout>
            <c:manualLayout>
              <c:xMode val="edge"/>
              <c:yMode val="edge"/>
              <c:x val="0.006780404010775892"/>
              <c:y val="0.307125543694649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223805263"/>
      </c:valAx>
    </c:plotArea>
    <c:legend>
      <c:legendPos val="b"/>
      <c:layout>
        <c:manualLayout>
          <c:xMode val="edge"/>
          <c:yMode val="edge"/>
          <c:x val="0.016149563970521703"/>
          <c:y val="0.9164956543488895"/>
        </c:manualLayout>
      </c:layout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Liability Over Time: March 2014 to Forecasted March 2029</a:t>
            </a:r>
          </a:p>
        </c:rich>
      </c:tx>
      <c:layout>
        <c:manualLayout>
          <c:xMode val="edge"/>
          <c:yMode val="edge"/>
          <c:x val="0.16076606629261161"/>
          <c:y val="0.013404825737265416"/>
        </c:manualLayout>
      </c:layout>
      <c:overlay val="0"/>
    </c:title>
    <c:plotArea>
      <c:layout>
        <c:manualLayout>
          <c:xMode val="edge"/>
          <c:yMode val="edge"/>
          <c:x val="0.1172878088332991"/>
          <c:y val="0.13565684014577528"/>
          <c:w val="0.8577831670354767"/>
          <c:h val="0.4918547960471499"/>
        </c:manualLayout>
      </c:layout>
      <c:lineChart>
        <c:ser>
          <c:idx val="0"/>
          <c:order val="0"/>
          <c:tx>
            <c:v>Total Liabilities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Liability!$A$2:$A$63</c:f>
            </c:strRef>
          </c:cat>
          <c:val>
            <c:numRef>
              <c:f>Liability!$B$2:$B$63</c:f>
              <c:numCache/>
            </c:numRef>
          </c:val>
          <c:smooth val="0"/>
        </c:ser>
        <c:ser>
          <c:idx val="1"/>
          <c:order val="1"/>
          <c:tx>
            <c:v>Forecast(Total Liabilities)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Liability!$A$2:$A$63</c:f>
            </c:strRef>
          </c:cat>
          <c:val>
            <c:numRef>
              <c:f>Liability!$C$2:$C$63</c:f>
              <c:numCache/>
            </c:numRef>
          </c:val>
          <c:smooth val="0"/>
        </c:ser>
        <c:ser>
          <c:idx val="2"/>
          <c:order val="2"/>
          <c:tx>
            <c:v>Lower Confidence Bound(Total Liabilities)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Liability!$A$2:$A$63</c:f>
            </c:strRef>
          </c:cat>
          <c:val>
            <c:numRef>
              <c:f>Liability!$D$2:$D$63</c:f>
              <c:numCache/>
            </c:numRef>
          </c:val>
          <c:smooth val="0"/>
        </c:ser>
        <c:ser>
          <c:idx val="3"/>
          <c:order val="3"/>
          <c:tx>
            <c:v>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Liability!$A$2:$A$63</c:f>
            </c:strRef>
          </c:cat>
          <c:val>
            <c:numRef>
              <c:f>Liability!$E$2:$E$63</c:f>
              <c:numCache/>
            </c:numRef>
          </c:val>
          <c:smooth val="0"/>
        </c:ser>
        <c:axId val="1609979444"/>
        <c:axId val="1569683947"/>
      </c:lineChart>
      <c:catAx>
        <c:axId val="1609979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layout>
            <c:manualLayout>
              <c:xMode val="edge"/>
              <c:yMode val="edge"/>
              <c:x val="0.40618673275160133"/>
              <c:y val="0.860591473281757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569683947"/>
      </c:catAx>
      <c:valAx>
        <c:axId val="1569683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+mn-lt"/>
                  </a:rPr>
                  <a:t>Total liabilities</a:t>
                </a:r>
              </a:p>
            </c:rich>
          </c:tx>
          <c:layout>
            <c:manualLayout>
              <c:xMode val="edge"/>
              <c:yMode val="edge"/>
              <c:x val="0.005981558043440454"/>
              <c:y val="0.314387584981899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609979444"/>
      </c:valAx>
    </c:plotArea>
    <c:legend>
      <c:legendPos val="b"/>
      <c:layout>
        <c:manualLayout>
          <c:xMode val="edge"/>
          <c:yMode val="edge"/>
          <c:x val="0.0"/>
          <c:y val="0.9088732121618623"/>
        </c:manualLayout>
      </c:layout>
      <c:overlay val="0"/>
      <c:txPr>
        <a:bodyPr/>
        <a:lstStyle/>
        <a:p>
          <a:pPr lvl="0">
            <a:defRPr b="0" i="0" sz="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 of gross profit with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Grossprofit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Sheet4!$A$2:$A$63</c:f>
            </c:strRef>
          </c:cat>
          <c:val>
            <c:numRef>
              <c:f>Sheet4!$B$2:$B$63</c:f>
              <c:numCache/>
            </c:numRef>
          </c:val>
          <c:smooth val="0"/>
        </c:ser>
        <c:ser>
          <c:idx val="1"/>
          <c:order val="1"/>
          <c:tx>
            <c:v>Forecast(Grossprofit)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Sheet4!$A$2:$A$63</c:f>
            </c:strRef>
          </c:cat>
          <c:val>
            <c:numRef>
              <c:f>Sheet4!$C$2:$C$63</c:f>
              <c:numCache/>
            </c:numRef>
          </c:val>
          <c:smooth val="0"/>
        </c:ser>
        <c:ser>
          <c:idx val="2"/>
          <c:order val="2"/>
          <c:tx>
            <c:v>Lower Confidence Bound(Grossprofit)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Sheet4!$A$2:$A$63</c:f>
            </c:strRef>
          </c:cat>
          <c:val>
            <c:numRef>
              <c:f>Sheet4!$D$2:$D$63</c:f>
              <c:numCache/>
            </c:numRef>
          </c:val>
          <c:smooth val="0"/>
        </c:ser>
        <c:ser>
          <c:idx val="3"/>
          <c:order val="3"/>
          <c:tx>
            <c:v>Upper Confidence Bound(Grossprofit)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Sheet4!$A$2:$A$63</c:f>
            </c:strRef>
          </c:cat>
          <c:val>
            <c:numRef>
              <c:f>Sheet4!$E$2:$E$63</c:f>
              <c:numCache/>
            </c:numRef>
          </c:val>
          <c:smooth val="0"/>
        </c:ser>
        <c:axId val="791780626"/>
        <c:axId val="800141859"/>
      </c:lineChart>
      <c:catAx>
        <c:axId val="791780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0141859"/>
      </c:catAx>
      <c:valAx>
        <c:axId val="800141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Total gross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178062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100">
                <a:solidFill>
                  <a:srgbClr val="757575"/>
                </a:solidFill>
                <a:latin typeface="+mn-lt"/>
              </a:defRPr>
            </a:pPr>
            <a:r>
              <a:rPr b="0" i="0" sz="1100">
                <a:solidFill>
                  <a:srgbClr val="757575"/>
                </a:solidFill>
                <a:latin typeface="+mn-lt"/>
              </a:rPr>
              <a:t>Assets Over Time: March 2014 to Forecasted March 2029</a:t>
            </a:r>
          </a:p>
        </c:rich>
      </c:tx>
      <c:layout>
        <c:manualLayout>
          <c:xMode val="edge"/>
          <c:yMode val="edge"/>
          <c:x val="0.20830875122910522"/>
          <c:y val="0.032382108884841124"/>
        </c:manualLayout>
      </c:layout>
      <c:overlay val="0"/>
    </c:title>
    <c:plotArea>
      <c:layout>
        <c:manualLayout>
          <c:xMode val="edge"/>
          <c:yMode val="edge"/>
          <c:x val="0.12486803243554287"/>
          <c:y val="0.13683480821727886"/>
          <c:w val="0.8490533761579578"/>
          <c:h val="0.46550452869691866"/>
        </c:manualLayout>
      </c:layout>
      <c:lineChart>
        <c:ser>
          <c:idx val="0"/>
          <c:order val="0"/>
          <c:tx>
            <c:v>Total Assets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'Assets '!$A$2:$A$63</c:f>
            </c:strRef>
          </c:cat>
          <c:val>
            <c:numRef>
              <c:f>'Assets '!$B$2:$B$63</c:f>
              <c:numCache/>
            </c:numRef>
          </c:val>
          <c:smooth val="0"/>
        </c:ser>
        <c:ser>
          <c:idx val="1"/>
          <c:order val="1"/>
          <c:tx>
            <c:v>Forecast(Total Assets)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'Assets '!$A$2:$A$63</c:f>
            </c:strRef>
          </c:cat>
          <c:val>
            <c:numRef>
              <c:f>'Assets '!$C$2:$C$63</c:f>
              <c:numCache/>
            </c:numRef>
          </c:val>
          <c:smooth val="0"/>
        </c:ser>
        <c:ser>
          <c:idx val="2"/>
          <c:order val="2"/>
          <c:tx>
            <c:v>Lower Confidence Bound(Total Assets)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'Assets '!$A$2:$A$63</c:f>
            </c:strRef>
          </c:cat>
          <c:val>
            <c:numRef>
              <c:f>'Assets '!$D$2:$D$63</c:f>
              <c:numCache/>
            </c:numRef>
          </c:val>
          <c:smooth val="0"/>
        </c:ser>
        <c:ser>
          <c:idx val="3"/>
          <c:order val="3"/>
          <c:tx>
            <c:v>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'Assets '!$A$2:$A$63</c:f>
            </c:strRef>
          </c:cat>
          <c:val>
            <c:numRef>
              <c:f>'Assets '!$E$2:$E$63</c:f>
              <c:numCache/>
            </c:numRef>
          </c:val>
          <c:smooth val="0"/>
        </c:ser>
        <c:axId val="1451775362"/>
        <c:axId val="1972409206"/>
      </c:lineChart>
      <c:catAx>
        <c:axId val="1451775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layout>
            <c:manualLayout>
              <c:xMode val="edge"/>
              <c:yMode val="edge"/>
              <c:x val="0.4465614057750611"/>
              <c:y val="0.8425584566861705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972409206"/>
      </c:catAx>
      <c:valAx>
        <c:axId val="1972409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Total assets</a:t>
                </a:r>
              </a:p>
            </c:rich>
          </c:tx>
          <c:layout>
            <c:manualLayout>
              <c:xMode val="edge"/>
              <c:yMode val="edge"/>
              <c:x val="0.019109020768377106"/>
              <c:y val="0.32696230890213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451775362"/>
      </c:valAx>
    </c:plotArea>
    <c:legend>
      <c:legendPos val="b"/>
      <c:layout>
        <c:manualLayout>
          <c:xMode val="edge"/>
          <c:yMode val="edge"/>
          <c:x val="0.007374631268436578"/>
          <c:y val="0.9129431557086193"/>
        </c:manualLayout>
      </c:layout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000">
                <a:solidFill>
                  <a:srgbClr val="757575"/>
                </a:solidFill>
                <a:latin typeface="+mn-lt"/>
              </a:defRPr>
            </a:pPr>
            <a:r>
              <a:rPr b="0" i="0" sz="1000">
                <a:solidFill>
                  <a:srgbClr val="757575"/>
                </a:solidFill>
                <a:latin typeface="+mn-lt"/>
              </a:rPr>
              <a:t>Equity Over Time: March 2014 to Forecasted March 2029</a:t>
            </a:r>
          </a:p>
        </c:rich>
      </c:tx>
      <c:layout>
        <c:manualLayout>
          <c:xMode val="edge"/>
          <c:yMode val="edge"/>
          <c:x val="0.1673085616731256"/>
          <c:y val="0.027586216883416375"/>
        </c:manualLayout>
      </c:layout>
      <c:overlay val="0"/>
    </c:title>
    <c:plotArea>
      <c:layout>
        <c:manualLayout>
          <c:xMode val="edge"/>
          <c:yMode val="edge"/>
          <c:x val="0.11862295249488228"/>
          <c:y val="0.13136826783114994"/>
          <c:w val="0.850343051172772"/>
          <c:h val="0.4672880685267693"/>
        </c:manualLayout>
      </c:layout>
      <c:lineChart>
        <c:ser>
          <c:idx val="0"/>
          <c:order val="0"/>
          <c:tx>
            <c:v>Total Equity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>Linear (Total Equity)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Equity!$A$2:$A$63</c:f>
            </c:strRef>
          </c:cat>
          <c:val>
            <c:numRef>
              <c:f>Equity!$B$2:$B$63</c:f>
              <c:numCache/>
            </c:numRef>
          </c:val>
          <c:smooth val="0"/>
        </c:ser>
        <c:ser>
          <c:idx val="1"/>
          <c:order val="1"/>
          <c:tx>
            <c:v>Forecast(Total Equity)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Equity!$A$2:$A$63</c:f>
            </c:strRef>
          </c:cat>
          <c:val>
            <c:numRef>
              <c:f>Equity!$C$2:$C$63</c:f>
              <c:numCache/>
            </c:numRef>
          </c:val>
          <c:smooth val="0"/>
        </c:ser>
        <c:ser>
          <c:idx val="2"/>
          <c:order val="2"/>
          <c:tx>
            <c:v>Lower Confidence Bound(Total Equity)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Equity!$A$2:$A$63</c:f>
            </c:strRef>
          </c:cat>
          <c:val>
            <c:numRef>
              <c:f>Equity!$D$2:$D$63</c:f>
              <c:numCache/>
            </c:numRef>
          </c:val>
          <c:smooth val="0"/>
        </c:ser>
        <c:ser>
          <c:idx val="3"/>
          <c:order val="3"/>
          <c:tx>
            <c:v>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Equity!$A$2:$A$63</c:f>
            </c:strRef>
          </c:cat>
          <c:val>
            <c:numRef>
              <c:f>Equity!$E$2:$E$63</c:f>
              <c:numCache/>
            </c:numRef>
          </c:val>
          <c:smooth val="0"/>
        </c:ser>
        <c:axId val="813399529"/>
        <c:axId val="1450049555"/>
      </c:lineChart>
      <c:catAx>
        <c:axId val="813399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layout>
            <c:manualLayout>
              <c:xMode val="edge"/>
              <c:yMode val="edge"/>
              <c:x val="0.4028719220084793"/>
              <c:y val="0.8414169034000916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450049555"/>
      </c:catAx>
      <c:valAx>
        <c:axId val="1450049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+mn-lt"/>
                  </a:rPr>
                  <a:t>Total equity</a:t>
                </a:r>
              </a:p>
            </c:rich>
          </c:tx>
          <c:layout>
            <c:manualLayout>
              <c:xMode val="edge"/>
              <c:yMode val="edge"/>
              <c:x val="0.019774675859127427"/>
              <c:y val="0.2984835907262524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813399529"/>
      </c:valAx>
    </c:plotArea>
    <c:legend>
      <c:legendPos val="b"/>
      <c:layout>
        <c:manualLayout>
          <c:xMode val="edge"/>
          <c:yMode val="edge"/>
          <c:x val="0.0"/>
          <c:y val="0.9330324673843668"/>
        </c:manualLayout>
      </c:layout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 of assets turn over ratio with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Assets Turn Over Ratio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Sheet9!$A$2:$A$63</c:f>
            </c:strRef>
          </c:cat>
          <c:val>
            <c:numRef>
              <c:f>Sheet9!$B$2:$B$63</c:f>
              <c:numCache/>
            </c:numRef>
          </c:val>
          <c:smooth val="0"/>
        </c:ser>
        <c:ser>
          <c:idx val="1"/>
          <c:order val="1"/>
          <c:tx>
            <c:v>Forecast(Assets Turn Over Ratio)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Sheet9!$A$2:$A$63</c:f>
            </c:strRef>
          </c:cat>
          <c:val>
            <c:numRef>
              <c:f>Sheet9!$C$2:$C$63</c:f>
              <c:numCache/>
            </c:numRef>
          </c:val>
          <c:smooth val="0"/>
        </c:ser>
        <c:ser>
          <c:idx val="2"/>
          <c:order val="2"/>
          <c:tx>
            <c:v>Lower Confidence Bound(Assets Turn Over Ratio)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Sheet9!$A$2:$A$63</c:f>
            </c:strRef>
          </c:cat>
          <c:val>
            <c:numRef>
              <c:f>Sheet9!$D$2:$D$63</c:f>
              <c:numCache/>
            </c:numRef>
          </c:val>
          <c:smooth val="0"/>
        </c:ser>
        <c:ser>
          <c:idx val="3"/>
          <c:order val="3"/>
          <c:tx>
            <c:v>Upper Confidence Bound(Assets Turn Over Ratio)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Sheet9!$A$2:$A$63</c:f>
            </c:strRef>
          </c:cat>
          <c:val>
            <c:numRef>
              <c:f>Sheet9!$E$2:$E$63</c:f>
              <c:numCache/>
            </c:numRef>
          </c:val>
          <c:smooth val="0"/>
        </c:ser>
        <c:axId val="500302188"/>
        <c:axId val="1349416808"/>
      </c:lineChart>
      <c:catAx>
        <c:axId val="500302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9416808"/>
      </c:catAx>
      <c:valAx>
        <c:axId val="1349416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Assets turn over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030218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 of revenue with time</a:t>
            </a:r>
          </a:p>
        </c:rich>
      </c:tx>
      <c:overlay val="0"/>
    </c:title>
    <c:plotArea>
      <c:layout>
        <c:manualLayout>
          <c:xMode val="edge"/>
          <c:yMode val="edge"/>
          <c:x val="0.1664295843799394"/>
          <c:y val="0.11931312614394453"/>
          <c:w val="0.8173859777407959"/>
          <c:h val="0.5532678498769701"/>
        </c:manualLayout>
      </c:layout>
      <c:lineChart>
        <c:varyColors val="0"/>
        <c:ser>
          <c:idx val="0"/>
          <c:order val="0"/>
          <c:tx>
            <c:v>Revenue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'Group - Quarterly'!$A$3:$A$43</c:f>
            </c:strRef>
          </c:cat>
          <c:val>
            <c:numRef>
              <c:f>'Group - Quarterly'!$G$3:$G$43</c:f>
              <c:numCache/>
            </c:numRef>
          </c:val>
          <c:smooth val="0"/>
        </c:ser>
        <c:axId val="1539003222"/>
        <c:axId val="586553364"/>
      </c:lineChart>
      <c:catAx>
        <c:axId val="1539003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layout>
            <c:manualLayout>
              <c:xMode val="edge"/>
              <c:yMode val="edge"/>
              <c:x val="0.48208961332730604"/>
              <c:y val="0.9143556170576637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6553364"/>
      </c:catAx>
      <c:valAx>
        <c:axId val="586553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9003222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 of net income with time</a:t>
            </a:r>
          </a:p>
        </c:rich>
      </c:tx>
      <c:overlay val="0"/>
    </c:title>
    <c:plotArea>
      <c:layout>
        <c:manualLayout>
          <c:xMode val="edge"/>
          <c:yMode val="edge"/>
          <c:x val="0.18047453985864656"/>
          <c:y val="0.14220292071816162"/>
          <c:w val="0.8047769028871391"/>
          <c:h val="0.46728966170895303"/>
        </c:manualLayout>
      </c:layout>
      <c:lineChart>
        <c:varyColors val="0"/>
        <c:ser>
          <c:idx val="0"/>
          <c:order val="0"/>
          <c:tx>
            <c:v>Net Income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>Linear (Net Income)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'Group - Quarterly'!$A$3:$A$43</c:f>
            </c:strRef>
          </c:cat>
          <c:val>
            <c:numRef>
              <c:f>'Group - Quarterly'!$E$3:$E$43</c:f>
              <c:numCache/>
            </c:numRef>
          </c:val>
          <c:smooth val="0"/>
        </c:ser>
        <c:axId val="1843211250"/>
        <c:axId val="1904191097"/>
      </c:lineChart>
      <c:catAx>
        <c:axId val="1843211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4191097"/>
      </c:catAx>
      <c:valAx>
        <c:axId val="1904191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Net income</a:t>
                </a:r>
              </a:p>
            </c:rich>
          </c:tx>
          <c:layout>
            <c:manualLayout>
              <c:xMode val="edge"/>
              <c:yMode val="edge"/>
              <c:x val="0.016943469924049298"/>
              <c:y val="0.300186553794572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3211250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 of total liabilities with time</a:t>
            </a:r>
          </a:p>
        </c:rich>
      </c:tx>
      <c:overlay val="0"/>
    </c:title>
    <c:plotArea>
      <c:layout>
        <c:manualLayout>
          <c:xMode val="edge"/>
          <c:yMode val="edge"/>
          <c:x val="0.22937390241404537"/>
          <c:y val="0.1314011373175848"/>
          <c:w val="0.746039010607876"/>
          <c:h val="0.5065525737821958"/>
        </c:manualLayout>
      </c:layout>
      <c:lineChart>
        <c:varyColors val="0"/>
        <c:ser>
          <c:idx val="0"/>
          <c:order val="0"/>
          <c:tx>
            <c:v>Total Liabilities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>Linear (Total Liabilities)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'Group - Quarterly'!$A$3:$A$43</c:f>
            </c:strRef>
          </c:cat>
          <c:val>
            <c:numRef>
              <c:f>'Group - Quarterly'!$C$3:$C$43</c:f>
              <c:numCache/>
            </c:numRef>
          </c:val>
          <c:smooth val="0"/>
        </c:ser>
        <c:axId val="426728517"/>
        <c:axId val="1122660359"/>
      </c:lineChart>
      <c:catAx>
        <c:axId val="426728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2660359"/>
      </c:catAx>
      <c:valAx>
        <c:axId val="1122660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Liabilities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6728517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 of gross profit with time</a:t>
            </a:r>
          </a:p>
        </c:rich>
      </c:tx>
      <c:overlay val="0"/>
    </c:title>
    <c:plotArea>
      <c:layout>
        <c:manualLayout>
          <c:xMode val="edge"/>
          <c:yMode val="edge"/>
          <c:x val="0.19578243978764892"/>
          <c:y val="0.14285558232685105"/>
          <c:w val="0.785296884215333"/>
          <c:h val="0.4916987169362117"/>
        </c:manualLayout>
      </c:layout>
      <c:lineChart>
        <c:varyColors val="0"/>
        <c:ser>
          <c:idx val="0"/>
          <c:order val="0"/>
          <c:tx>
            <c:v>Grossprofit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'Group - Quarterly'!$A$3:$A$43</c:f>
            </c:strRef>
          </c:cat>
          <c:val>
            <c:numRef>
              <c:f>'Group - Quarterly'!$F$3:$F$43</c:f>
              <c:numCache/>
            </c:numRef>
          </c:val>
          <c:smooth val="0"/>
        </c:ser>
        <c:axId val="319454497"/>
        <c:axId val="1108318019"/>
      </c:lineChart>
      <c:catAx>
        <c:axId val="319454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8318019"/>
      </c:catAx>
      <c:valAx>
        <c:axId val="1108318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Gross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9454497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 of total assets and equity with time</a:t>
            </a:r>
          </a:p>
        </c:rich>
      </c:tx>
      <c:overlay val="0"/>
    </c:title>
    <c:plotArea>
      <c:layout>
        <c:manualLayout>
          <c:xMode val="edge"/>
          <c:yMode val="edge"/>
          <c:x val="0.20547148379998675"/>
          <c:y val="0.1577821787320589"/>
          <c:w val="0.7772783841923594"/>
          <c:h val="0.40966618358471596"/>
        </c:manualLayout>
      </c:layout>
      <c:lineChart>
        <c:ser>
          <c:idx val="0"/>
          <c:order val="0"/>
          <c:tx>
            <c:v>Total Assets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>Linear (Total Assets)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'Group - Quarterly'!$A$3:$A$43</c:f>
            </c:strRef>
          </c:cat>
          <c:val>
            <c:numRef>
              <c:f>'Group - Quarterly'!$B$3:$B$43</c:f>
              <c:numCache/>
            </c:numRef>
          </c:val>
          <c:smooth val="0"/>
        </c:ser>
        <c:ser>
          <c:idx val="1"/>
          <c:order val="1"/>
          <c:tx>
            <c:v>Total Equity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'Group - Quarterly'!$A$3:$A$43</c:f>
            </c:strRef>
          </c:cat>
          <c:val>
            <c:numRef>
              <c:f>'Group - Quarterly'!$D$3:$D$43</c:f>
              <c:numCache/>
            </c:numRef>
          </c:val>
          <c:smooth val="0"/>
        </c:ser>
        <c:axId val="193911165"/>
        <c:axId val="1795910503"/>
      </c:lineChart>
      <c:catAx>
        <c:axId val="193911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5910503"/>
      </c:catAx>
      <c:valAx>
        <c:axId val="1795910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Total assets and equity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91116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 of total assets,total liabilities and total equity with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 Assets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'Group - Quarterly'!$A$3:$A$43</c:f>
            </c:strRef>
          </c:cat>
          <c:val>
            <c:numRef>
              <c:f>'Group - Quarterly'!$B$3:$B$43</c:f>
              <c:numCache/>
            </c:numRef>
          </c:val>
          <c:smooth val="0"/>
        </c:ser>
        <c:ser>
          <c:idx val="1"/>
          <c:order val="1"/>
          <c:tx>
            <c:v>Total Liabilities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'Group - Quarterly'!$A$3:$A$43</c:f>
            </c:strRef>
          </c:cat>
          <c:val>
            <c:numRef>
              <c:f>'Group - Quarterly'!$C$3:$C$43</c:f>
              <c:numCache/>
            </c:numRef>
          </c:val>
          <c:smooth val="0"/>
        </c:ser>
        <c:ser>
          <c:idx val="2"/>
          <c:order val="2"/>
          <c:tx>
            <c:v>Total Equity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'Group - Quarterly'!$A$3:$A$43</c:f>
            </c:strRef>
          </c:cat>
          <c:val>
            <c:numRef>
              <c:f>'Group - Quarterly'!$D$3:$D$43</c:f>
              <c:numCache/>
            </c:numRef>
          </c:val>
          <c:smooth val="0"/>
        </c:ser>
        <c:axId val="2139983198"/>
        <c:axId val="603883546"/>
      </c:lineChart>
      <c:catAx>
        <c:axId val="2139983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3883546"/>
      </c:catAx>
      <c:valAx>
        <c:axId val="603883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Total assets / Total liabilities /Total equity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9983198"/>
      </c:valAx>
    </c:plotArea>
    <c:legend>
      <c:legendPos val="b"/>
      <c:layout>
        <c:manualLayout>
          <c:xMode val="edge"/>
          <c:yMode val="edge"/>
          <c:x val="0.23570734908136487"/>
          <c:y val="0.926159594634003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Revenue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(Revenue)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'Group - Quarterly'!$F$3:$F$43</c:f>
            </c:numRef>
          </c:xVal>
          <c:yVal>
            <c:numRef>
              <c:f>'Group - Quarterly'!$G$3:$G$43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64674"/>
        <c:axId val="519976650"/>
      </c:scatterChart>
      <c:valAx>
        <c:axId val="3942646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9976650"/>
      </c:valAx>
      <c:valAx>
        <c:axId val="519976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4264674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+mn-lt"/>
              </a:defRPr>
            </a:pPr>
            <a:r>
              <a:rPr b="0" i="0" sz="1200">
                <a:solidFill>
                  <a:srgbClr val="757575"/>
                </a:solidFill>
                <a:latin typeface="+mn-lt"/>
              </a:rPr>
              <a:t>Change of assets turn over ratio</a:t>
            </a:r>
          </a:p>
        </c:rich>
      </c:tx>
      <c:layout>
        <c:manualLayout>
          <c:xMode val="edge"/>
          <c:yMode val="edge"/>
          <c:x val="0.29570186335403725"/>
          <c:y val="0.05194805194805195"/>
        </c:manualLayout>
      </c:layout>
      <c:overlay val="0"/>
    </c:title>
    <c:plotArea>
      <c:layout>
        <c:manualLayout>
          <c:xMode val="edge"/>
          <c:yMode val="edge"/>
          <c:x val="0.10743677942018967"/>
          <c:y val="0.13565727629931143"/>
          <c:w val="0.8239933123113711"/>
          <c:h val="0.6075323424808585"/>
        </c:manualLayout>
      </c:layout>
      <c:lineChart>
        <c:ser>
          <c:idx val="0"/>
          <c:order val="0"/>
          <c:tx>
            <c:v>Assets Turn Over Ratio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'Assets Turn Over'!$A$2:$A$17</c:f>
            </c:strRef>
          </c:cat>
          <c:val>
            <c:numRef>
              <c:f>'Assets Turn Over'!$B$2:$B$17</c:f>
              <c:numCache/>
            </c:numRef>
          </c:val>
          <c:smooth val="0"/>
        </c:ser>
        <c:ser>
          <c:idx val="1"/>
          <c:order val="1"/>
          <c:tx>
            <c:v>Forecast(Assets Turn Over Ratio)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'Assets Turn Over'!$A$2:$A$17</c:f>
            </c:strRef>
          </c:cat>
          <c:val>
            <c:numRef>
              <c:f>'Assets Turn Over'!$C$2:$C$17</c:f>
              <c:numCache/>
            </c:numRef>
          </c:val>
          <c:smooth val="0"/>
        </c:ser>
        <c:ser>
          <c:idx val="2"/>
          <c:order val="2"/>
          <c:tx>
            <c:v>Lower Confidence Bound(Assets Turn Over Ratio)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'Assets Turn Over'!$A$2:$A$17</c:f>
            </c:strRef>
          </c:cat>
          <c:val>
            <c:numRef>
              <c:f>'Assets Turn Over'!$D$2:$D$17</c:f>
              <c:numCache/>
            </c:numRef>
          </c:val>
          <c:smooth val="0"/>
        </c:ser>
        <c:ser>
          <c:idx val="3"/>
          <c:order val="3"/>
          <c:tx>
            <c:v>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'Assets Turn Over'!$A$2:$A$17</c:f>
            </c:strRef>
          </c:cat>
          <c:val>
            <c:numRef>
              <c:f>'Assets Turn Over'!$E$2:$E$17</c:f>
              <c:numCache/>
            </c:numRef>
          </c:val>
          <c:smooth val="0"/>
        </c:ser>
        <c:axId val="488769696"/>
        <c:axId val="1392710553"/>
      </c:lineChart>
      <c:catAx>
        <c:axId val="48876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46353953999309805"/>
              <c:y val="0.8613537885494277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2710553"/>
      </c:catAx>
      <c:valAx>
        <c:axId val="1392710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Assets turn over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8769696"/>
      </c:valAx>
    </c:plotArea>
    <c:legend>
      <c:legendPos val="b"/>
      <c:layout>
        <c:manualLayout>
          <c:xMode val="edge"/>
          <c:yMode val="edge"/>
          <c:x val="0.0"/>
          <c:y val="0.9353172972797443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Debt to equity Ratio</a:t>
            </a:r>
          </a:p>
        </c:rich>
      </c:tx>
      <c:layout>
        <c:manualLayout>
          <c:xMode val="edge"/>
          <c:yMode val="edge"/>
          <c:x val="0.35906698757249345"/>
          <c:y val="0.010988962918096775"/>
        </c:manualLayout>
      </c:layout>
      <c:overlay val="0"/>
    </c:title>
    <c:plotArea>
      <c:layout>
        <c:manualLayout>
          <c:xMode val="edge"/>
          <c:yMode val="edge"/>
          <c:x val="0.08848877585953929"/>
          <c:y val="0.10072144828050342"/>
          <c:w val="0.8786160257384278"/>
          <c:h val="0.6280069318258295"/>
        </c:manualLayout>
      </c:layout>
      <c:lineChart>
        <c:ser>
          <c:idx val="0"/>
          <c:order val="0"/>
          <c:tx>
            <c:v>Debt to equity Ratio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>Linear (Debt to equity Ratio)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'Debt To Equity'!$A$2:$A$18</c:f>
            </c:strRef>
          </c:cat>
          <c:val>
            <c:numRef>
              <c:f>'Debt To Equity'!$B$2:$B$18</c:f>
              <c:numCache/>
            </c:numRef>
          </c:val>
          <c:smooth val="0"/>
        </c:ser>
        <c:ser>
          <c:idx val="1"/>
          <c:order val="1"/>
          <c:tx>
            <c:v>Forecast(Debt to equity Ratio)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'Debt To Equity'!$A$2:$A$18</c:f>
            </c:strRef>
          </c:cat>
          <c:val>
            <c:numRef>
              <c:f>'Debt To Equity'!$C$2:$C$18</c:f>
              <c:numCache/>
            </c:numRef>
          </c:val>
          <c:smooth val="0"/>
        </c:ser>
        <c:ser>
          <c:idx val="2"/>
          <c:order val="2"/>
          <c:tx>
            <c:v>Lower Confidence Bound(Debt to equity Ratio)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'Debt To Equity'!$A$2:$A$18</c:f>
            </c:strRef>
          </c:cat>
          <c:val>
            <c:numRef>
              <c:f>'Debt To Equity'!$D$2:$D$18</c:f>
              <c:numCache/>
            </c:numRef>
          </c:val>
          <c:smooth val="0"/>
        </c:ser>
        <c:ser>
          <c:idx val="3"/>
          <c:order val="3"/>
          <c:tx>
            <c:v>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'Debt To Equity'!$A$2:$A$18</c:f>
            </c:strRef>
          </c:cat>
          <c:val>
            <c:numRef>
              <c:f>'Debt To Equity'!$E$2:$E$18</c:f>
              <c:numCache/>
            </c:numRef>
          </c:val>
          <c:smooth val="0"/>
        </c:ser>
        <c:axId val="1612192262"/>
        <c:axId val="1069345106"/>
      </c:lineChart>
      <c:catAx>
        <c:axId val="1612192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826023091903215"/>
              <c:y val="0.848927585974830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069345106"/>
      </c:catAx>
      <c:valAx>
        <c:axId val="1069345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Debt to Equity Ratio</a:t>
                </a:r>
              </a:p>
            </c:rich>
          </c:tx>
          <c:layout>
            <c:manualLayout>
              <c:xMode val="edge"/>
              <c:yMode val="edge"/>
              <c:x val="0.015643508119883288"/>
              <c:y val="0.2266050878255602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612192262"/>
      </c:valAx>
    </c:plotArea>
    <c:legend>
      <c:legendPos val="b"/>
      <c:layout>
        <c:manualLayout>
          <c:xMode val="edge"/>
          <c:yMode val="edge"/>
          <c:x val="0.01235701932520877"/>
          <c:y val="0.921449962985396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Gross Profit Margin</a:t>
            </a:r>
          </a:p>
        </c:rich>
      </c:tx>
      <c:overlay val="0"/>
    </c:title>
    <c:plotArea>
      <c:layout>
        <c:manualLayout>
          <c:xMode val="edge"/>
          <c:yMode val="edge"/>
          <c:x val="0.1050698594547308"/>
          <c:y val="0.14634218968243004"/>
          <c:w val="0.8517166911131422"/>
          <c:h val="0.5422975192617052"/>
        </c:manualLayout>
      </c:layout>
      <c:lineChart>
        <c:ser>
          <c:idx val="0"/>
          <c:order val="0"/>
          <c:tx>
            <c:v>Gross profit Margin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'Gross Profit Margin'!$A$2:$A$17</c:f>
            </c:strRef>
          </c:cat>
          <c:val>
            <c:numRef>
              <c:f>'Gross Profit Margin'!$B$2:$B$17</c:f>
              <c:numCache/>
            </c:numRef>
          </c:val>
          <c:smooth val="0"/>
        </c:ser>
        <c:ser>
          <c:idx val="1"/>
          <c:order val="1"/>
          <c:tx>
            <c:v>Forecast(Gross profit Margin)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'Gross Profit Margin'!$A$2:$A$17</c:f>
            </c:strRef>
          </c:cat>
          <c:val>
            <c:numRef>
              <c:f>'Gross Profit Margin'!$C$2:$C$17</c:f>
              <c:numCache/>
            </c:numRef>
          </c:val>
          <c:smooth val="0"/>
        </c:ser>
        <c:ser>
          <c:idx val="2"/>
          <c:order val="2"/>
          <c:tx>
            <c:v>Lower Confidence Bound(Gross profit Margin)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'Gross Profit Margin'!$A$2:$A$17</c:f>
            </c:strRef>
          </c:cat>
          <c:val>
            <c:numRef>
              <c:f>'Gross Profit Margin'!$D$2:$D$17</c:f>
              <c:numCache/>
            </c:numRef>
          </c:val>
          <c:smooth val="0"/>
        </c:ser>
        <c:ser>
          <c:idx val="3"/>
          <c:order val="3"/>
          <c:tx>
            <c:v>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'Gross Profit Margin'!$A$2:$A$17</c:f>
            </c:strRef>
          </c:cat>
          <c:val>
            <c:numRef>
              <c:f>'Gross Profit Margin'!$E$2:$E$17</c:f>
              <c:numCache/>
            </c:numRef>
          </c:val>
          <c:smooth val="0"/>
        </c:ser>
        <c:axId val="718415819"/>
        <c:axId val="332994549"/>
      </c:lineChart>
      <c:catAx>
        <c:axId val="718415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776400234515194"/>
              <c:y val="0.830360511387689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2994549"/>
      </c:catAx>
      <c:valAx>
        <c:axId val="332994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+mn-lt"/>
                  </a:rPr>
                  <a:t>Gross Profit Margin</a:t>
                </a:r>
              </a:p>
            </c:rich>
          </c:tx>
          <c:layout>
            <c:manualLayout>
              <c:xMode val="edge"/>
              <c:yMode val="edge"/>
              <c:x val="0.01510984176861651"/>
              <c:y val="0.24353854890945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718415819"/>
      </c:valAx>
    </c:plotArea>
    <c:legend>
      <c:legendPos val="b"/>
      <c:layout>
        <c:manualLayout>
          <c:xMode val="edge"/>
          <c:yMode val="edge"/>
          <c:x val="0.018094428696909057"/>
          <c:y val="0.9189731606129878"/>
        </c:manualLayout>
      </c:layout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Net Profit Margin over time </a:t>
            </a:r>
          </a:p>
        </c:rich>
      </c:tx>
      <c:layout>
        <c:manualLayout>
          <c:xMode val="edge"/>
          <c:yMode val="edge"/>
          <c:x val="0.3523912228362759"/>
          <c:y val="0.047619047619047616"/>
        </c:manualLayout>
      </c:layout>
      <c:overlay val="0"/>
    </c:title>
    <c:plotArea>
      <c:layout>
        <c:manualLayout>
          <c:xMode val="edge"/>
          <c:yMode val="edge"/>
          <c:x val="0.1040271596485222"/>
          <c:y val="0.12036813580120667"/>
          <c:w val="0.8317906457345006"/>
          <c:h val="0.5468221017827317"/>
        </c:manualLayout>
      </c:layout>
      <c:lineChart>
        <c:ser>
          <c:idx val="0"/>
          <c:order val="0"/>
          <c:tx>
            <c:v>Net Profit Margin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>Linear (Net Profit Margin)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'Net Profit Margin'!$A$2:$A$17</c:f>
            </c:strRef>
          </c:cat>
          <c:val>
            <c:numRef>
              <c:f>'Net Profit Margin'!$B$2:$B$17</c:f>
              <c:numCache/>
            </c:numRef>
          </c:val>
          <c:smooth val="0"/>
        </c:ser>
        <c:ser>
          <c:idx val="1"/>
          <c:order val="1"/>
          <c:tx>
            <c:v>Forecast(Net Profit Margin)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'Net Profit Margin'!$A$2:$A$17</c:f>
            </c:strRef>
          </c:cat>
          <c:val>
            <c:numRef>
              <c:f>'Net Profit Margin'!$C$2:$C$17</c:f>
              <c:numCache/>
            </c:numRef>
          </c:val>
          <c:smooth val="0"/>
        </c:ser>
        <c:ser>
          <c:idx val="2"/>
          <c:order val="2"/>
          <c:tx>
            <c:v>Lower Confidence Bound(Net Profit Margin)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'Net Profit Margin'!$A$2:$A$17</c:f>
            </c:strRef>
          </c:cat>
          <c:val>
            <c:numRef>
              <c:f>'Net Profit Margin'!$D$2:$D$17</c:f>
              <c:numCache/>
            </c:numRef>
          </c:val>
          <c:smooth val="0"/>
        </c:ser>
        <c:ser>
          <c:idx val="3"/>
          <c:order val="3"/>
          <c:tx>
            <c:v>95% Confidence Band</c:v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'Net Profit Margin'!$A$2:$A$17</c:f>
            </c:strRef>
          </c:cat>
          <c:val>
            <c:numRef>
              <c:f>'Net Profit Margin'!$E$2:$E$17</c:f>
              <c:numCache/>
            </c:numRef>
          </c:val>
          <c:smooth val="0"/>
        </c:ser>
        <c:axId val="1098667789"/>
        <c:axId val="1072172624"/>
      </c:lineChart>
      <c:catAx>
        <c:axId val="1098667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865934897777638"/>
              <c:y val="0.818489279749122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2172624"/>
      </c:catAx>
      <c:valAx>
        <c:axId val="1072172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Net Profit 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098667789"/>
        <c:majorUnit val="0.2"/>
      </c:valAx>
    </c:plotArea>
    <c:legend>
      <c:legendPos val="b"/>
      <c:layout>
        <c:manualLayout>
          <c:xMode val="edge"/>
          <c:yMode val="edge"/>
          <c:x val="0.0"/>
          <c:y val="0.903934280942155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8</xdr:row>
      <xdr:rowOff>47625</xdr:rowOff>
    </xdr:from>
    <xdr:ext cx="5981700" cy="3200400"/>
    <xdr:graphicFrame>
      <xdr:nvGraphicFramePr>
        <xdr:cNvPr id="82583717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3</xdr:row>
      <xdr:rowOff>57150</xdr:rowOff>
    </xdr:from>
    <xdr:ext cx="4886325" cy="2790825"/>
    <xdr:graphicFrame>
      <xdr:nvGraphicFramePr>
        <xdr:cNvPr id="147118043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3</xdr:row>
      <xdr:rowOff>133350</xdr:rowOff>
    </xdr:from>
    <xdr:ext cx="4981575" cy="2695575"/>
    <xdr:graphicFrame>
      <xdr:nvGraphicFramePr>
        <xdr:cNvPr id="93205386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8</xdr:row>
      <xdr:rowOff>19050</xdr:rowOff>
    </xdr:from>
    <xdr:ext cx="8601075" cy="3543300"/>
    <xdr:graphicFrame>
      <xdr:nvGraphicFramePr>
        <xdr:cNvPr id="58361200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1209675</xdr:colOff>
      <xdr:row>1</xdr:row>
      <xdr:rowOff>142875</xdr:rowOff>
    </xdr:from>
    <xdr:ext cx="5676900" cy="2971800"/>
    <xdr:graphicFrame>
      <xdr:nvGraphicFramePr>
        <xdr:cNvPr id="78703620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4</xdr:row>
      <xdr:rowOff>114300</xdr:rowOff>
    </xdr:from>
    <xdr:ext cx="4848225" cy="2752725"/>
    <xdr:graphicFrame>
      <xdr:nvGraphicFramePr>
        <xdr:cNvPr id="212883800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11</xdr:row>
      <xdr:rowOff>142875</xdr:rowOff>
    </xdr:from>
    <xdr:ext cx="8439150" cy="3543300"/>
    <xdr:graphicFrame>
      <xdr:nvGraphicFramePr>
        <xdr:cNvPr id="112722425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48</xdr:row>
      <xdr:rowOff>76200</xdr:rowOff>
    </xdr:from>
    <xdr:ext cx="5924550" cy="4171950"/>
    <xdr:graphicFrame>
      <xdr:nvGraphicFramePr>
        <xdr:cNvPr id="53546155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48</xdr:row>
      <xdr:rowOff>57150</xdr:rowOff>
    </xdr:from>
    <xdr:ext cx="6477000" cy="4057650"/>
    <xdr:graphicFrame>
      <xdr:nvGraphicFramePr>
        <xdr:cNvPr id="87250658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809625</xdr:colOff>
      <xdr:row>47</xdr:row>
      <xdr:rowOff>152400</xdr:rowOff>
    </xdr:from>
    <xdr:ext cx="6553200" cy="4171950"/>
    <xdr:graphicFrame>
      <xdr:nvGraphicFramePr>
        <xdr:cNvPr id="1943656022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1162050</xdr:colOff>
      <xdr:row>73</xdr:row>
      <xdr:rowOff>9525</xdr:rowOff>
    </xdr:from>
    <xdr:ext cx="6086475" cy="4067175"/>
    <xdr:graphicFrame>
      <xdr:nvGraphicFramePr>
        <xdr:cNvPr id="171187362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1190625</xdr:colOff>
      <xdr:row>72</xdr:row>
      <xdr:rowOff>142875</xdr:rowOff>
    </xdr:from>
    <xdr:ext cx="6629400" cy="3990975"/>
    <xdr:graphicFrame>
      <xdr:nvGraphicFramePr>
        <xdr:cNvPr id="2145528886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0</xdr:colOff>
      <xdr:row>72</xdr:row>
      <xdr:rowOff>114300</xdr:rowOff>
    </xdr:from>
    <xdr:ext cx="6543675" cy="3933825"/>
    <xdr:graphicFrame>
      <xdr:nvGraphicFramePr>
        <xdr:cNvPr id="41369948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390525</xdr:colOff>
      <xdr:row>1</xdr:row>
      <xdr:rowOff>85725</xdr:rowOff>
    </xdr:from>
    <xdr:ext cx="11887200" cy="6572250"/>
    <xdr:graphicFrame>
      <xdr:nvGraphicFramePr>
        <xdr:cNvPr id="404384500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3</xdr:row>
      <xdr:rowOff>9525</xdr:rowOff>
    </xdr:from>
    <xdr:ext cx="6438900" cy="3533775"/>
    <xdr:graphicFrame>
      <xdr:nvGraphicFramePr>
        <xdr:cNvPr id="1133871442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20</xdr:row>
      <xdr:rowOff>47625</xdr:rowOff>
    </xdr:from>
    <xdr:ext cx="6086475" cy="2971800"/>
    <xdr:graphicFrame>
      <xdr:nvGraphicFramePr>
        <xdr:cNvPr id="1486492403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647700</xdr:colOff>
      <xdr:row>20</xdr:row>
      <xdr:rowOff>47625</xdr:rowOff>
    </xdr:from>
    <xdr:ext cx="6086475" cy="2971800"/>
    <xdr:grpSp>
      <xdr:nvGrpSpPr>
        <xdr:cNvPr id="2" name="Shape 2"/>
        <xdr:cNvGrpSpPr/>
      </xdr:nvGrpSpPr>
      <xdr:grpSpPr>
        <a:xfrm>
          <a:off x="2302763" y="2294100"/>
          <a:ext cx="6086460" cy="2971800"/>
          <a:chOff x="2302763" y="2294100"/>
          <a:chExt cx="6086460" cy="2971800"/>
        </a:xfrm>
      </xdr:grpSpPr>
      <xdr:grpSp>
        <xdr:nvGrpSpPr>
          <xdr:cNvPr id="3" name="Shape 3"/>
          <xdr:cNvGrpSpPr/>
        </xdr:nvGrpSpPr>
        <xdr:grpSpPr>
          <a:xfrm>
            <a:off x="2302763" y="2294100"/>
            <a:ext cx="6086460" cy="2971800"/>
            <a:chOff x="2786062" y="485775"/>
            <a:chExt cx="5376850" cy="2667000"/>
          </a:xfrm>
        </xdr:grpSpPr>
        <xdr:sp>
          <xdr:nvSpPr>
            <xdr:cNvPr id="4" name="Shape 4"/>
            <xdr:cNvSpPr/>
          </xdr:nvSpPr>
          <xdr:spPr>
            <a:xfrm>
              <a:off x="2786062" y="485775"/>
              <a:ext cx="537685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 rot="10800000">
              <a:off x="3228975" y="1588477"/>
              <a:ext cx="4733925" cy="8307"/>
            </a:xfrm>
            <a:prstGeom prst="straightConnector1">
              <a:avLst/>
            </a:prstGeom>
            <a:noFill/>
            <a:ln cap="flat" cmpd="sng" w="19050">
              <a:solidFill>
                <a:schemeClr val="accent4"/>
              </a:solidFill>
              <a:prstDash val="solid"/>
              <a:miter lim="800000"/>
              <a:headEnd len="med" w="med" type="triangle"/>
              <a:tailEnd len="med" w="med" type="triangle"/>
            </a:ln>
          </xdr:spPr>
        </xdr:cxnSp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17</xdr:row>
      <xdr:rowOff>76200</xdr:rowOff>
    </xdr:from>
    <xdr:ext cx="6305550" cy="2952750"/>
    <xdr:graphicFrame>
      <xdr:nvGraphicFramePr>
        <xdr:cNvPr id="1359689729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457200</xdr:colOff>
      <xdr:row>17</xdr:row>
      <xdr:rowOff>76200</xdr:rowOff>
    </xdr:from>
    <xdr:ext cx="6305550" cy="2952750"/>
    <xdr:grpSp>
      <xdr:nvGrpSpPr>
        <xdr:cNvPr id="2" name="Shape 2"/>
        <xdr:cNvGrpSpPr/>
      </xdr:nvGrpSpPr>
      <xdr:grpSpPr>
        <a:xfrm>
          <a:off x="2193225" y="2303625"/>
          <a:ext cx="6305535" cy="2952750"/>
          <a:chOff x="2193225" y="2303625"/>
          <a:chExt cx="6305535" cy="2952750"/>
        </a:xfrm>
      </xdr:grpSpPr>
      <xdr:grpSp>
        <xdr:nvGrpSpPr>
          <xdr:cNvPr id="6" name="Shape 6"/>
          <xdr:cNvGrpSpPr/>
        </xdr:nvGrpSpPr>
        <xdr:grpSpPr>
          <a:xfrm>
            <a:off x="2193225" y="2303625"/>
            <a:ext cx="6305535" cy="2952750"/>
            <a:chOff x="2633662" y="771525"/>
            <a:chExt cx="5614975" cy="2952750"/>
          </a:xfrm>
        </xdr:grpSpPr>
        <xdr:sp>
          <xdr:nvSpPr>
            <xdr:cNvPr id="4" name="Shape 4"/>
            <xdr:cNvSpPr/>
          </xdr:nvSpPr>
          <xdr:spPr>
            <a:xfrm>
              <a:off x="2633662" y="771525"/>
              <a:ext cx="5614975" cy="2952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 flipH="1" rot="10800000">
              <a:off x="3219450" y="2009775"/>
              <a:ext cx="4705350" cy="9525"/>
            </a:xfrm>
            <a:prstGeom prst="straightConnector1">
              <a:avLst/>
            </a:prstGeom>
            <a:noFill/>
            <a:ln cap="flat" cmpd="sng" w="28575">
              <a:solidFill>
                <a:schemeClr val="accent4"/>
              </a:solidFill>
              <a:prstDash val="solid"/>
              <a:miter lim="800000"/>
              <a:headEnd len="med" w="med" type="triangle"/>
              <a:tailEnd len="med" w="med" type="triangle"/>
            </a:ln>
          </xdr:spPr>
        </xdr:cxnSp>
      </xdr:grp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22</xdr:row>
      <xdr:rowOff>28575</xdr:rowOff>
    </xdr:from>
    <xdr:ext cx="6257925" cy="2933700"/>
    <xdr:graphicFrame>
      <xdr:nvGraphicFramePr>
        <xdr:cNvPr id="544094972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914400</xdr:colOff>
      <xdr:row>22</xdr:row>
      <xdr:rowOff>28575</xdr:rowOff>
    </xdr:from>
    <xdr:ext cx="6257925" cy="2933700"/>
    <xdr:grpSp>
      <xdr:nvGrpSpPr>
        <xdr:cNvPr id="2" name="Shape 2"/>
        <xdr:cNvGrpSpPr/>
      </xdr:nvGrpSpPr>
      <xdr:grpSpPr>
        <a:xfrm>
          <a:off x="2217038" y="2313150"/>
          <a:ext cx="6257925" cy="2933700"/>
          <a:chOff x="2217038" y="2313150"/>
          <a:chExt cx="6257925" cy="2933700"/>
        </a:xfrm>
      </xdr:grpSpPr>
      <xdr:grpSp>
        <xdr:nvGrpSpPr>
          <xdr:cNvPr id="8" name="Shape 8"/>
          <xdr:cNvGrpSpPr/>
        </xdr:nvGrpSpPr>
        <xdr:grpSpPr>
          <a:xfrm>
            <a:off x="2217038" y="2313150"/>
            <a:ext cx="6257925" cy="2933700"/>
            <a:chOff x="2547937" y="704850"/>
            <a:chExt cx="6134100" cy="2933700"/>
          </a:xfrm>
        </xdr:grpSpPr>
        <xdr:sp>
          <xdr:nvSpPr>
            <xdr:cNvPr id="4" name="Shape 4"/>
            <xdr:cNvSpPr/>
          </xdr:nvSpPr>
          <xdr:spPr>
            <a:xfrm>
              <a:off x="2547937" y="704850"/>
              <a:ext cx="6134100" cy="2933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>
              <a:off x="3148296" y="2333625"/>
              <a:ext cx="5043013" cy="9525"/>
            </a:xfrm>
            <a:prstGeom prst="straightConnector1">
              <a:avLst/>
            </a:prstGeom>
            <a:noFill/>
            <a:ln cap="flat" cmpd="sng" w="19050">
              <a:solidFill>
                <a:schemeClr val="accent4"/>
              </a:solidFill>
              <a:prstDash val="solid"/>
              <a:miter lim="800000"/>
              <a:headEnd len="med" w="med" type="triangle"/>
              <a:tailEnd len="med" w="med" type="triangle"/>
            </a:ln>
          </xdr:spPr>
        </xdr:cxnSp>
      </xdr:grp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3" displayName="Table_1" name="Table_1" id="1">
  <tableColumns count="5">
    <tableColumn name="Quarters" id="1"/>
    <tableColumn name="Revenue" id="2"/>
    <tableColumn name="Forecast(Revenue)" id="3"/>
    <tableColumn name="Lower Confidence Bound(Revenue)" id="4"/>
    <tableColumn name=" 95% Confidence Band" id="5"/>
  </tableColumns>
  <tableStyleInfo name="Revenue-style" showColumnStripes="0" showFirstColumn="1" showLastColumn="1" showRowStripes="1"/>
</table>
</file>

<file path=xl/tables/table2.xml><?xml version="1.0" encoding="utf-8"?>
<table xmlns="http://schemas.openxmlformats.org/spreadsheetml/2006/main" ref="A1:E63" displayName="Table_2" name="Table_2" id="2">
  <tableColumns count="5">
    <tableColumn name="Quarters" id="1"/>
    <tableColumn name="Net Income" id="2"/>
    <tableColumn name="Forecast(Net Income)" id="3"/>
    <tableColumn name="Lower Confidence Bound(Net Income)" id="4"/>
    <tableColumn name=" 95% Confidence Band" id="5"/>
  </tableColumns>
  <tableStyleInfo name="Net Income-style" showColumnStripes="0" showFirstColumn="1" showLastColumn="1" showRowStripes="1"/>
</table>
</file>

<file path=xl/tables/table3.xml><?xml version="1.0" encoding="utf-8"?>
<table xmlns="http://schemas.openxmlformats.org/spreadsheetml/2006/main" ref="A1:E63" displayName="Table_3" name="Table_3" id="3">
  <tableColumns count="5">
    <tableColumn name="Quarters" id="1"/>
    <tableColumn name="Total Liabilities" id="2"/>
    <tableColumn name="Forecast(Total Liabilities)" id="3"/>
    <tableColumn name="Lower Confidence Bound(Total Liabilities)" id="4"/>
    <tableColumn name="95% Confidence Band" id="5"/>
  </tableColumns>
  <tableStyleInfo name="Liability-style" showColumnStripes="0" showFirstColumn="1" showLastColumn="1" showRowStripes="1"/>
</table>
</file>

<file path=xl/tables/table4.xml><?xml version="1.0" encoding="utf-8"?>
<table xmlns="http://schemas.openxmlformats.org/spreadsheetml/2006/main" ref="A1:E63" displayName="Table_4" name="Table_4" id="4">
  <tableColumns count="5">
    <tableColumn name="Quarters" id="1"/>
    <tableColumn name="Grossprofit" id="2"/>
    <tableColumn name="Forecast(Grossprofit)" id="3"/>
    <tableColumn name="Lower Confidence Bound(Grossprofit)" id="4"/>
    <tableColumn name="Upper Confidence Bound(Grossprofit)" id="5"/>
  </tableColumns>
  <tableStyleInfo name="Sheet4-style" showColumnStripes="0" showFirstColumn="1" showLastColumn="1" showRowStripes="1"/>
</table>
</file>

<file path=xl/tables/table5.xml><?xml version="1.0" encoding="utf-8"?>
<table xmlns="http://schemas.openxmlformats.org/spreadsheetml/2006/main" ref="A1:E63" displayName="Table_5" name="Table_5" id="5">
  <tableColumns count="5">
    <tableColumn name="Quarters" id="1"/>
    <tableColumn name="Total Assets" id="2"/>
    <tableColumn name="Forecast(Total Assets)" id="3"/>
    <tableColumn name="Lower Confidence Bound(Total Assets)" id="4"/>
    <tableColumn name="95% Confidence Band" id="5"/>
  </tableColumns>
  <tableStyleInfo name="Assets -style" showColumnStripes="0" showFirstColumn="1" showLastColumn="1" showRowStripes="1"/>
</table>
</file>

<file path=xl/tables/table6.xml><?xml version="1.0" encoding="utf-8"?>
<table xmlns="http://schemas.openxmlformats.org/spreadsheetml/2006/main" ref="A1:E63" displayName="Table_6" name="Table_6" id="6">
  <tableColumns count="5">
    <tableColumn name="Quarters" id="1"/>
    <tableColumn name="Total Equity" id="2"/>
    <tableColumn name="Forecast(Total Equity)" id="3"/>
    <tableColumn name="Lower Confidence Bound(Total Equity)" id="4"/>
    <tableColumn name="95% Confidence Band" id="5"/>
  </tableColumns>
  <tableStyleInfo name="Equity-style" showColumnStripes="0" showFirstColumn="1" showLastColumn="1" showRowStripes="1"/>
</table>
</file>

<file path=xl/tables/table7.xml><?xml version="1.0" encoding="utf-8"?>
<table xmlns="http://schemas.openxmlformats.org/spreadsheetml/2006/main" ref="A1:E63" displayName="Table_7" name="Table_7" id="7">
  <tableColumns count="5">
    <tableColumn name="Quarters" id="1"/>
    <tableColumn name="Assets Turn Over Ratio" id="2"/>
    <tableColumn name="Forecast(Assets Turn Over Ratio)" id="3"/>
    <tableColumn name="Lower Confidence Bound(Assets Turn Over Ratio)" id="4"/>
    <tableColumn name="Upper Confidence Bound(Assets Turn Over Ratio)" id="5"/>
  </tableColumns>
  <tableStyleInfo name="Sheet9-style" showColumnStripes="0" showFirstColumn="1" showLastColumn="1" showRowStripes="1"/>
</table>
</file>

<file path=xl/tables/table8.xml><?xml version="1.0" encoding="utf-8"?>
<table xmlns="http://schemas.openxmlformats.org/spreadsheetml/2006/main" ref="A1:E17" displayName="Table_8" name="Table_8" id="8">
  <tableColumns count="5">
    <tableColumn name="year" id="1"/>
    <tableColumn name="Assets Turn Over Ratio" id="2"/>
    <tableColumn name="Forecast(Assets Turn Over Ratio)" id="3"/>
    <tableColumn name="Lower Confidence Bound(Assets Turn Over Ratio)" id="4"/>
    <tableColumn name="95% Confidence Band" id="5"/>
  </tableColumns>
  <tableStyleInfo name="Assets Turn Over-style" showColumnStripes="0" showFirstColumn="1" showLastColumn="1" showRowStripes="1"/>
</table>
</file>

<file path=xl/tables/table9.xml><?xml version="1.0" encoding="utf-8"?>
<table xmlns="http://schemas.openxmlformats.org/spreadsheetml/2006/main" ref="A1:E18" displayName="Table_9" name="Table_9" id="9">
  <tableColumns count="5">
    <tableColumn name="year" id="1"/>
    <tableColumn name="Debt to equity Ratio" id="2"/>
    <tableColumn name="Forecast(Debt to equity Ratio)" id="3"/>
    <tableColumn name="Lower Confidence Bound(Debt to equity Ratio)" id="4"/>
    <tableColumn name="95% Confidence Band" id="5"/>
  </tableColumns>
  <tableStyleInfo name="Debt To Equity-style" showColumnStripes="0" showFirstColumn="1" showLastColumn="1" showRowStripes="1"/>
</table>
</file>

<file path=xl/tables/table10.xml><?xml version="1.0" encoding="utf-8"?>
<table xmlns="http://schemas.openxmlformats.org/spreadsheetml/2006/main" ref="A1:E17" displayName="Table_10" name="Table_10" id="10">
  <tableColumns count="5">
    <tableColumn name="year" id="1"/>
    <tableColumn name="Gross profit Margin" id="2"/>
    <tableColumn name="Forecast(Gross profit Margin)" id="3"/>
    <tableColumn name="Lower Confidence Bound(Gross profit Margin)" id="4"/>
    <tableColumn name="95% Confidence Band" id="5"/>
  </tableColumns>
  <tableStyleInfo name="Gross Profit Margin-style" showColumnStripes="0" showFirstColumn="1" showLastColumn="1" showRowStripes="1"/>
</table>
</file>

<file path=xl/tables/table11.xml><?xml version="1.0" encoding="utf-8"?>
<table xmlns="http://schemas.openxmlformats.org/spreadsheetml/2006/main" ref="A1:E17" displayName="Table_11" name="Table_11" id="11">
  <tableColumns count="5">
    <tableColumn name="year" id="1"/>
    <tableColumn name="Net Profit Margin" id="2"/>
    <tableColumn name="Forecast(Net Profit Margin)" id="3"/>
    <tableColumn name="Lower Confidence Bound(Net Profit Margin)" id="4"/>
    <tableColumn name="95% Confidence Band" id="5"/>
  </tableColumns>
  <tableStyleInfo name="Net Profit Marg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0.38"/>
    <col customWidth="1" min="3" max="3" width="19.38"/>
    <col customWidth="1" min="4" max="4" width="33.88"/>
    <col customWidth="1" min="5" max="5" width="33.75"/>
    <col customWidth="1" min="6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>
        <v>41699.0</v>
      </c>
      <c r="B2" s="3">
        <v>2119259.0</v>
      </c>
      <c r="C2" s="1"/>
      <c r="D2" s="1"/>
      <c r="E2" s="1"/>
    </row>
    <row r="3" ht="12.75" customHeight="1">
      <c r="A3" s="2">
        <v>41791.0</v>
      </c>
      <c r="B3" s="3">
        <v>2268378.0</v>
      </c>
      <c r="C3" s="1"/>
      <c r="D3" s="1"/>
      <c r="E3" s="1"/>
    </row>
    <row r="4" ht="12.75" customHeight="1">
      <c r="A4" s="2">
        <v>41883.0</v>
      </c>
      <c r="B4" s="3">
        <v>2537153.0</v>
      </c>
      <c r="C4" s="1"/>
      <c r="D4" s="1"/>
      <c r="E4" s="1"/>
    </row>
    <row r="5" ht="12.75" customHeight="1">
      <c r="A5" s="2">
        <v>41974.0</v>
      </c>
      <c r="B5" s="3">
        <v>2928167.0</v>
      </c>
      <c r="C5" s="1"/>
      <c r="D5" s="1"/>
      <c r="E5" s="1"/>
    </row>
    <row r="6" ht="12.75" customHeight="1">
      <c r="A6" s="2">
        <v>42064.0</v>
      </c>
      <c r="B6" s="3">
        <v>3044023.0</v>
      </c>
      <c r="C6" s="1"/>
      <c r="D6" s="1"/>
      <c r="E6" s="1"/>
    </row>
    <row r="7" ht="12.75" customHeight="1">
      <c r="A7" s="2">
        <v>42156.0</v>
      </c>
      <c r="B7" s="3">
        <v>4064938.0</v>
      </c>
      <c r="C7" s="1"/>
      <c r="D7" s="1"/>
      <c r="E7" s="1"/>
    </row>
    <row r="8" ht="12.75" customHeight="1">
      <c r="A8" s="2">
        <v>42248.0</v>
      </c>
      <c r="B8" s="3">
        <v>5189030.0</v>
      </c>
      <c r="C8" s="1"/>
      <c r="D8" s="1"/>
      <c r="E8" s="1"/>
    </row>
    <row r="9" ht="12.75" customHeight="1">
      <c r="A9" s="2">
        <v>42339.0</v>
      </c>
      <c r="B9" s="3">
        <v>5351834.0</v>
      </c>
      <c r="C9" s="1"/>
      <c r="D9" s="1"/>
      <c r="E9" s="1"/>
    </row>
    <row r="10" ht="12.75" customHeight="1">
      <c r="A10" s="2">
        <v>42430.0</v>
      </c>
      <c r="B10" s="3">
        <v>5663722.0</v>
      </c>
      <c r="C10" s="1"/>
      <c r="D10" s="1"/>
      <c r="E10" s="1"/>
    </row>
    <row r="11" ht="12.75" customHeight="1">
      <c r="A11" s="2">
        <v>42522.0</v>
      </c>
      <c r="B11" s="3">
        <v>5058548.0</v>
      </c>
      <c r="C11" s="1"/>
      <c r="D11" s="1"/>
      <c r="E11" s="1"/>
    </row>
    <row r="12" ht="12.75" customHeight="1">
      <c r="A12" s="2">
        <v>42614.0</v>
      </c>
      <c r="B12" s="3">
        <v>6194657.0</v>
      </c>
      <c r="C12" s="1"/>
      <c r="D12" s="1"/>
      <c r="E12" s="1"/>
    </row>
    <row r="13" ht="12.75" customHeight="1">
      <c r="A13" s="2">
        <v>42705.0</v>
      </c>
      <c r="B13" s="3">
        <v>6290599.0</v>
      </c>
      <c r="C13" s="1"/>
      <c r="D13" s="1"/>
      <c r="E13" s="1"/>
    </row>
    <row r="14" ht="12.75" customHeight="1">
      <c r="A14" s="2">
        <v>42795.0</v>
      </c>
      <c r="B14" s="3">
        <v>6697735.0</v>
      </c>
      <c r="C14" s="1"/>
      <c r="D14" s="1"/>
      <c r="E14" s="1"/>
    </row>
    <row r="15" ht="12.75" customHeight="1">
      <c r="A15" s="2">
        <v>42887.0</v>
      </c>
      <c r="B15" s="3">
        <v>4842678.0</v>
      </c>
      <c r="C15" s="1"/>
      <c r="D15" s="1"/>
      <c r="E15" s="1"/>
    </row>
    <row r="16" ht="12.75" customHeight="1">
      <c r="A16" s="2">
        <v>42979.0</v>
      </c>
      <c r="B16" s="3">
        <v>5799466.0</v>
      </c>
      <c r="C16" s="1"/>
      <c r="D16" s="1"/>
      <c r="E16" s="1"/>
    </row>
    <row r="17" ht="12.75" customHeight="1">
      <c r="A17" s="2">
        <v>43070.0</v>
      </c>
      <c r="B17" s="3">
        <v>6212330.0</v>
      </c>
      <c r="C17" s="1"/>
      <c r="D17" s="1"/>
      <c r="E17" s="1"/>
    </row>
    <row r="18" ht="12.75" customHeight="1">
      <c r="A18" s="2">
        <v>43160.0</v>
      </c>
      <c r="B18" s="3">
        <v>5792567.0</v>
      </c>
      <c r="C18" s="1"/>
      <c r="D18" s="1"/>
      <c r="E18" s="1"/>
    </row>
    <row r="19" ht="12.75" customHeight="1">
      <c r="A19" s="2">
        <v>43252.0</v>
      </c>
      <c r="B19" s="3">
        <v>4978017.0</v>
      </c>
      <c r="C19" s="1"/>
      <c r="D19" s="1"/>
      <c r="E19" s="1"/>
    </row>
    <row r="20" ht="12.75" customHeight="1">
      <c r="A20" s="2">
        <v>43344.0</v>
      </c>
      <c r="B20" s="3">
        <v>5733691.0</v>
      </c>
      <c r="C20" s="1"/>
      <c r="D20" s="1"/>
      <c r="E20" s="1"/>
    </row>
    <row r="21" ht="12.75" customHeight="1">
      <c r="A21" s="2">
        <v>43435.0</v>
      </c>
      <c r="B21" s="3">
        <v>6411129.0</v>
      </c>
      <c r="C21" s="1"/>
      <c r="D21" s="1"/>
      <c r="E21" s="1"/>
    </row>
    <row r="22" ht="12.75" customHeight="1">
      <c r="A22" s="2">
        <v>43525.0</v>
      </c>
      <c r="B22" s="3">
        <v>7732612.0</v>
      </c>
      <c r="C22" s="1"/>
      <c r="D22" s="1"/>
      <c r="E22" s="1"/>
    </row>
    <row r="23" ht="12.75" customHeight="1">
      <c r="A23" s="2">
        <v>43617.0</v>
      </c>
      <c r="B23" s="3">
        <v>5106338.0</v>
      </c>
      <c r="C23" s="1"/>
      <c r="D23" s="1"/>
      <c r="E23" s="1"/>
    </row>
    <row r="24" ht="12.75" customHeight="1">
      <c r="A24" s="2">
        <v>43709.0</v>
      </c>
      <c r="B24" s="3">
        <v>6449678.0</v>
      </c>
      <c r="C24" s="1"/>
      <c r="D24" s="1"/>
      <c r="E24" s="1"/>
    </row>
    <row r="25" ht="12.75" customHeight="1">
      <c r="A25" s="2">
        <v>43800.0</v>
      </c>
      <c r="B25" s="3">
        <v>6554993.0</v>
      </c>
      <c r="C25" s="1"/>
      <c r="D25" s="1"/>
      <c r="E25" s="1"/>
    </row>
    <row r="26" ht="12.75" customHeight="1">
      <c r="A26" s="2">
        <v>43891.0</v>
      </c>
      <c r="B26" s="3">
        <v>6995385.0</v>
      </c>
      <c r="C26" s="1"/>
      <c r="D26" s="1"/>
      <c r="E26" s="1"/>
    </row>
    <row r="27" ht="12.75" customHeight="1">
      <c r="A27" s="2">
        <v>43983.0</v>
      </c>
      <c r="B27" s="3">
        <v>5136441.0</v>
      </c>
      <c r="C27" s="1"/>
      <c r="D27" s="1"/>
      <c r="E27" s="1"/>
    </row>
    <row r="28" ht="12.75" customHeight="1">
      <c r="A28" s="2">
        <v>44075.0</v>
      </c>
      <c r="B28" s="3">
        <v>9192275.0</v>
      </c>
      <c r="C28" s="1"/>
      <c r="D28" s="1"/>
      <c r="E28" s="1"/>
    </row>
    <row r="29" ht="12.75" customHeight="1">
      <c r="A29" s="2">
        <v>44166.0</v>
      </c>
      <c r="B29" s="3">
        <v>7657752.0</v>
      </c>
      <c r="C29" s="1"/>
      <c r="D29" s="1"/>
      <c r="E29" s="1"/>
    </row>
    <row r="30" ht="12.75" customHeight="1">
      <c r="A30" s="2">
        <v>44256.0</v>
      </c>
      <c r="B30" s="3">
        <v>1.1611759E7</v>
      </c>
      <c r="C30" s="1"/>
      <c r="D30" s="1"/>
      <c r="E30" s="1"/>
    </row>
    <row r="31" ht="12.75" customHeight="1">
      <c r="A31" s="2">
        <v>44348.0</v>
      </c>
      <c r="B31" s="3">
        <v>1.0428243E7</v>
      </c>
      <c r="C31" s="1"/>
      <c r="D31" s="1"/>
      <c r="E31" s="1"/>
    </row>
    <row r="32" ht="12.75" customHeight="1">
      <c r="A32" s="2">
        <v>44440.0</v>
      </c>
      <c r="B32" s="3">
        <v>1.2521936E7</v>
      </c>
      <c r="C32" s="1"/>
      <c r="D32" s="1"/>
      <c r="E32" s="1"/>
    </row>
    <row r="33" ht="12.75" customHeight="1">
      <c r="A33" s="2">
        <v>44531.0</v>
      </c>
      <c r="B33" s="3">
        <v>1.3641745E7</v>
      </c>
      <c r="C33" s="1"/>
      <c r="D33" s="1"/>
      <c r="E33" s="1"/>
    </row>
    <row r="34" ht="12.75" customHeight="1">
      <c r="A34" s="2">
        <v>44621.0</v>
      </c>
      <c r="B34" s="3">
        <v>1.8691138E7</v>
      </c>
      <c r="C34" s="1"/>
      <c r="D34" s="1"/>
      <c r="E34" s="1"/>
    </row>
    <row r="35" ht="12.75" customHeight="1">
      <c r="A35" s="2">
        <v>44713.0</v>
      </c>
      <c r="B35" s="3">
        <v>2.0676025E7</v>
      </c>
      <c r="C35" s="1"/>
      <c r="D35" s="1"/>
      <c r="E35" s="1"/>
    </row>
    <row r="36" ht="12.75" customHeight="1">
      <c r="A36" s="2">
        <v>44805.0</v>
      </c>
      <c r="B36" s="3">
        <v>1.8567194E7</v>
      </c>
      <c r="C36" s="1"/>
      <c r="D36" s="1"/>
      <c r="E36" s="1"/>
    </row>
    <row r="37" ht="12.75" customHeight="1">
      <c r="A37" s="2">
        <v>44896.0</v>
      </c>
      <c r="B37" s="3">
        <v>2.2698782E7</v>
      </c>
      <c r="C37" s="1"/>
      <c r="D37" s="1"/>
      <c r="E37" s="1"/>
    </row>
    <row r="38" ht="12.75" customHeight="1">
      <c r="A38" s="2">
        <v>44986.0</v>
      </c>
      <c r="B38" s="3">
        <v>2.0740569E7</v>
      </c>
      <c r="C38" s="1"/>
      <c r="D38" s="1"/>
      <c r="E38" s="1"/>
    </row>
    <row r="39" ht="12.75" customHeight="1">
      <c r="A39" s="2">
        <v>45078.0</v>
      </c>
      <c r="B39" s="3">
        <v>2.301371E7</v>
      </c>
      <c r="C39" s="1"/>
      <c r="D39" s="1"/>
      <c r="E39" s="1"/>
    </row>
    <row r="40" ht="12.75" customHeight="1">
      <c r="A40" s="2">
        <v>45170.0</v>
      </c>
      <c r="B40" s="3">
        <v>1.8155848E7</v>
      </c>
      <c r="C40" s="1"/>
      <c r="D40" s="1"/>
      <c r="E40" s="1"/>
    </row>
    <row r="41" ht="12.75" customHeight="1">
      <c r="A41" s="2">
        <v>45261.0</v>
      </c>
      <c r="B41" s="3">
        <v>1.925836E7</v>
      </c>
      <c r="C41" s="1"/>
      <c r="D41" s="1"/>
      <c r="E41" s="1"/>
    </row>
    <row r="42" ht="12.75" customHeight="1">
      <c r="A42" s="2">
        <v>45352.0</v>
      </c>
      <c r="B42" s="3">
        <v>2.5509152E7</v>
      </c>
      <c r="C42" s="3">
        <v>2.5509152E7</v>
      </c>
      <c r="D42" s="3">
        <v>2.5509152E7</v>
      </c>
      <c r="E42" s="3">
        <v>2.5509152E7</v>
      </c>
    </row>
    <row r="43" ht="12.75" customHeight="1">
      <c r="A43" s="2">
        <v>45444.0</v>
      </c>
      <c r="B43" s="1"/>
      <c r="C43" s="3" t="str">
        <f t="shared" ref="C43:C63" si="1">_xlfn.FORECAST.ETS(A43,$B$2:$B$42,$A$2:$A$42,1,1)</f>
        <v>#NAME?</v>
      </c>
      <c r="D43" s="3" t="str">
        <f t="shared" ref="D43:D63" si="2">C43-_xlfn.FORECAST.ETS.CONFINT(A43,$B$2:$B$42,$A$2:$A$42,0.95,1,1)</f>
        <v>#NAME?</v>
      </c>
      <c r="E43" s="3" t="str">
        <f t="shared" ref="E43:E63" si="3">C43+_xlfn.FORECAST.ETS.CONFINT(A43,$B$2:$B$42,$A$2:$A$42,0.95,1,1)</f>
        <v>#NAME?</v>
      </c>
    </row>
    <row r="44" ht="12.75" customHeight="1">
      <c r="A44" s="2">
        <v>45536.0</v>
      </c>
      <c r="B44" s="1"/>
      <c r="C44" s="3" t="str">
        <f t="shared" si="1"/>
        <v>#NAME?</v>
      </c>
      <c r="D44" s="3" t="str">
        <f t="shared" si="2"/>
        <v>#NAME?</v>
      </c>
      <c r="E44" s="3" t="str">
        <f t="shared" si="3"/>
        <v>#NAME?</v>
      </c>
    </row>
    <row r="45" ht="12.75" customHeight="1">
      <c r="A45" s="2">
        <v>45627.0</v>
      </c>
      <c r="B45" s="1"/>
      <c r="C45" s="3" t="str">
        <f t="shared" si="1"/>
        <v>#NAME?</v>
      </c>
      <c r="D45" s="3" t="str">
        <f t="shared" si="2"/>
        <v>#NAME?</v>
      </c>
      <c r="E45" s="3" t="str">
        <f t="shared" si="3"/>
        <v>#NAME?</v>
      </c>
    </row>
    <row r="46" ht="12.75" customHeight="1">
      <c r="A46" s="2">
        <v>45717.0</v>
      </c>
      <c r="B46" s="1"/>
      <c r="C46" s="3" t="str">
        <f t="shared" si="1"/>
        <v>#NAME?</v>
      </c>
      <c r="D46" s="3" t="str">
        <f t="shared" si="2"/>
        <v>#NAME?</v>
      </c>
      <c r="E46" s="3" t="str">
        <f t="shared" si="3"/>
        <v>#NAME?</v>
      </c>
    </row>
    <row r="47" ht="12.75" customHeight="1">
      <c r="A47" s="2">
        <v>45809.0</v>
      </c>
      <c r="B47" s="1"/>
      <c r="C47" s="3" t="str">
        <f t="shared" si="1"/>
        <v>#NAME?</v>
      </c>
      <c r="D47" s="3" t="str">
        <f t="shared" si="2"/>
        <v>#NAME?</v>
      </c>
      <c r="E47" s="3" t="str">
        <f t="shared" si="3"/>
        <v>#NAME?</v>
      </c>
    </row>
    <row r="48" ht="12.75" customHeight="1">
      <c r="A48" s="2">
        <v>45901.0</v>
      </c>
      <c r="B48" s="1"/>
      <c r="C48" s="3" t="str">
        <f t="shared" si="1"/>
        <v>#NAME?</v>
      </c>
      <c r="D48" s="3" t="str">
        <f t="shared" si="2"/>
        <v>#NAME?</v>
      </c>
      <c r="E48" s="3" t="str">
        <f t="shared" si="3"/>
        <v>#NAME?</v>
      </c>
    </row>
    <row r="49" ht="12.75" customHeight="1">
      <c r="A49" s="2">
        <v>45992.0</v>
      </c>
      <c r="B49" s="1"/>
      <c r="C49" s="3" t="str">
        <f t="shared" si="1"/>
        <v>#NAME?</v>
      </c>
      <c r="D49" s="3" t="str">
        <f t="shared" si="2"/>
        <v>#NAME?</v>
      </c>
      <c r="E49" s="3" t="str">
        <f t="shared" si="3"/>
        <v>#NAME?</v>
      </c>
    </row>
    <row r="50" ht="12.75" customHeight="1">
      <c r="A50" s="2">
        <v>46082.0</v>
      </c>
      <c r="B50" s="1"/>
      <c r="C50" s="3" t="str">
        <f t="shared" si="1"/>
        <v>#NAME?</v>
      </c>
      <c r="D50" s="3" t="str">
        <f t="shared" si="2"/>
        <v>#NAME?</v>
      </c>
      <c r="E50" s="3" t="str">
        <f t="shared" si="3"/>
        <v>#NAME?</v>
      </c>
    </row>
    <row r="51" ht="12.75" customHeight="1">
      <c r="A51" s="2">
        <v>46174.0</v>
      </c>
      <c r="B51" s="1"/>
      <c r="C51" s="3" t="str">
        <f t="shared" si="1"/>
        <v>#NAME?</v>
      </c>
      <c r="D51" s="3" t="str">
        <f t="shared" si="2"/>
        <v>#NAME?</v>
      </c>
      <c r="E51" s="3" t="str">
        <f t="shared" si="3"/>
        <v>#NAME?</v>
      </c>
    </row>
    <row r="52" ht="12.75" customHeight="1">
      <c r="A52" s="2">
        <v>46266.0</v>
      </c>
      <c r="B52" s="1"/>
      <c r="C52" s="3" t="str">
        <f t="shared" si="1"/>
        <v>#NAME?</v>
      </c>
      <c r="D52" s="3" t="str">
        <f t="shared" si="2"/>
        <v>#NAME?</v>
      </c>
      <c r="E52" s="3" t="str">
        <f t="shared" si="3"/>
        <v>#NAME?</v>
      </c>
    </row>
    <row r="53" ht="12.75" customHeight="1">
      <c r="A53" s="2">
        <v>46357.0</v>
      </c>
      <c r="B53" s="1"/>
      <c r="C53" s="3" t="str">
        <f t="shared" si="1"/>
        <v>#NAME?</v>
      </c>
      <c r="D53" s="3" t="str">
        <f t="shared" si="2"/>
        <v>#NAME?</v>
      </c>
      <c r="E53" s="3" t="str">
        <f t="shared" si="3"/>
        <v>#NAME?</v>
      </c>
    </row>
    <row r="54" ht="12.75" customHeight="1">
      <c r="A54" s="2">
        <v>46447.0</v>
      </c>
      <c r="B54" s="1"/>
      <c r="C54" s="3" t="str">
        <f t="shared" si="1"/>
        <v>#NAME?</v>
      </c>
      <c r="D54" s="3" t="str">
        <f t="shared" si="2"/>
        <v>#NAME?</v>
      </c>
      <c r="E54" s="3" t="str">
        <f t="shared" si="3"/>
        <v>#NAME?</v>
      </c>
    </row>
    <row r="55" ht="12.75" customHeight="1">
      <c r="A55" s="2">
        <v>46539.0</v>
      </c>
      <c r="B55" s="1"/>
      <c r="C55" s="3" t="str">
        <f t="shared" si="1"/>
        <v>#NAME?</v>
      </c>
      <c r="D55" s="3" t="str">
        <f t="shared" si="2"/>
        <v>#NAME?</v>
      </c>
      <c r="E55" s="3" t="str">
        <f t="shared" si="3"/>
        <v>#NAME?</v>
      </c>
    </row>
    <row r="56" ht="12.75" customHeight="1">
      <c r="A56" s="2">
        <v>46631.0</v>
      </c>
      <c r="B56" s="1"/>
      <c r="C56" s="3" t="str">
        <f t="shared" si="1"/>
        <v>#NAME?</v>
      </c>
      <c r="D56" s="3" t="str">
        <f t="shared" si="2"/>
        <v>#NAME?</v>
      </c>
      <c r="E56" s="3" t="str">
        <f t="shared" si="3"/>
        <v>#NAME?</v>
      </c>
    </row>
    <row r="57" ht="12.75" customHeight="1">
      <c r="A57" s="2">
        <v>46722.0</v>
      </c>
      <c r="B57" s="1"/>
      <c r="C57" s="3" t="str">
        <f t="shared" si="1"/>
        <v>#NAME?</v>
      </c>
      <c r="D57" s="3" t="str">
        <f t="shared" si="2"/>
        <v>#NAME?</v>
      </c>
      <c r="E57" s="3" t="str">
        <f t="shared" si="3"/>
        <v>#NAME?</v>
      </c>
    </row>
    <row r="58" ht="12.75" customHeight="1">
      <c r="A58" s="2">
        <v>46813.0</v>
      </c>
      <c r="B58" s="1"/>
      <c r="C58" s="3" t="str">
        <f t="shared" si="1"/>
        <v>#NAME?</v>
      </c>
      <c r="D58" s="3" t="str">
        <f t="shared" si="2"/>
        <v>#NAME?</v>
      </c>
      <c r="E58" s="3" t="str">
        <f t="shared" si="3"/>
        <v>#NAME?</v>
      </c>
    </row>
    <row r="59" ht="12.75" customHeight="1">
      <c r="A59" s="2">
        <v>46905.0</v>
      </c>
      <c r="B59" s="1"/>
      <c r="C59" s="3" t="str">
        <f t="shared" si="1"/>
        <v>#NAME?</v>
      </c>
      <c r="D59" s="3" t="str">
        <f t="shared" si="2"/>
        <v>#NAME?</v>
      </c>
      <c r="E59" s="3" t="str">
        <f t="shared" si="3"/>
        <v>#NAME?</v>
      </c>
    </row>
    <row r="60" ht="12.75" customHeight="1">
      <c r="A60" s="2">
        <v>46997.0</v>
      </c>
      <c r="B60" s="1"/>
      <c r="C60" s="3" t="str">
        <f t="shared" si="1"/>
        <v>#NAME?</v>
      </c>
      <c r="D60" s="3" t="str">
        <f t="shared" si="2"/>
        <v>#NAME?</v>
      </c>
      <c r="E60" s="3" t="str">
        <f t="shared" si="3"/>
        <v>#NAME?</v>
      </c>
    </row>
    <row r="61" ht="12.75" customHeight="1">
      <c r="A61" s="2">
        <v>47088.0</v>
      </c>
      <c r="B61" s="1"/>
      <c r="C61" s="3" t="str">
        <f t="shared" si="1"/>
        <v>#NAME?</v>
      </c>
      <c r="D61" s="3" t="str">
        <f t="shared" si="2"/>
        <v>#NAME?</v>
      </c>
      <c r="E61" s="3" t="str">
        <f t="shared" si="3"/>
        <v>#NAME?</v>
      </c>
    </row>
    <row r="62" ht="12.75" customHeight="1">
      <c r="A62" s="2">
        <v>47178.0</v>
      </c>
      <c r="B62" s="1"/>
      <c r="C62" s="3" t="str">
        <f t="shared" si="1"/>
        <v>#NAME?</v>
      </c>
      <c r="D62" s="3" t="str">
        <f t="shared" si="2"/>
        <v>#NAME?</v>
      </c>
      <c r="E62" s="3" t="str">
        <f t="shared" si="3"/>
        <v>#NAME?</v>
      </c>
    </row>
    <row r="63" ht="12.75" customHeight="1">
      <c r="A63" s="2">
        <v>47208.0</v>
      </c>
      <c r="B63" s="1"/>
      <c r="C63" s="3" t="str">
        <f t="shared" si="1"/>
        <v>#NAME?</v>
      </c>
      <c r="D63" s="3" t="str">
        <f t="shared" si="2"/>
        <v>#NAME?</v>
      </c>
      <c r="E63" s="3" t="str">
        <f t="shared" si="3"/>
        <v>#NAME?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2.75"/>
    <col customWidth="1" min="3" max="3" width="21.75"/>
    <col customWidth="1" min="4" max="4" width="36.13"/>
    <col customWidth="1" min="5" max="5" width="36.0"/>
    <col customWidth="1" min="6" max="26" width="8.63"/>
  </cols>
  <sheetData>
    <row r="1" ht="12.75" customHeight="1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</row>
    <row r="2" ht="12.75" customHeight="1">
      <c r="A2" s="2">
        <v>41699.0</v>
      </c>
      <c r="B2" s="3">
        <v>1137035.0</v>
      </c>
      <c r="C2" s="1"/>
      <c r="D2" s="1"/>
      <c r="E2" s="1"/>
    </row>
    <row r="3" ht="12.75" customHeight="1">
      <c r="A3" s="2">
        <v>41791.0</v>
      </c>
      <c r="B3" s="3">
        <v>1012474.0</v>
      </c>
      <c r="C3" s="1"/>
      <c r="D3" s="1"/>
      <c r="E3" s="1"/>
    </row>
    <row r="4" ht="12.75" customHeight="1">
      <c r="A4" s="2">
        <v>41883.0</v>
      </c>
      <c r="B4" s="3">
        <v>1793064.0</v>
      </c>
      <c r="C4" s="1"/>
      <c r="D4" s="1"/>
      <c r="E4" s="1"/>
    </row>
    <row r="5" ht="12.75" customHeight="1">
      <c r="A5" s="2">
        <v>41974.0</v>
      </c>
      <c r="B5" s="3">
        <v>1531584.0</v>
      </c>
      <c r="C5" s="1"/>
      <c r="D5" s="1"/>
      <c r="E5" s="1"/>
    </row>
    <row r="6" ht="12.75" customHeight="1">
      <c r="A6" s="2">
        <v>42064.0</v>
      </c>
      <c r="B6" s="3">
        <v>1942587.0</v>
      </c>
      <c r="C6" s="1"/>
      <c r="D6" s="1"/>
      <c r="E6" s="1"/>
    </row>
    <row r="7" ht="12.75" customHeight="1">
      <c r="A7" s="2">
        <v>42156.0</v>
      </c>
      <c r="B7" s="3">
        <v>2063903.0</v>
      </c>
      <c r="C7" s="1"/>
      <c r="D7" s="1"/>
      <c r="E7" s="1"/>
    </row>
    <row r="8" ht="12.75" customHeight="1">
      <c r="A8" s="2">
        <v>42248.0</v>
      </c>
      <c r="B8" s="3">
        <v>2396338.0</v>
      </c>
      <c r="C8" s="1"/>
      <c r="D8" s="1"/>
      <c r="E8" s="1"/>
    </row>
    <row r="9" ht="12.75" customHeight="1">
      <c r="A9" s="2">
        <v>42339.0</v>
      </c>
      <c r="B9" s="3">
        <v>2674837.0</v>
      </c>
      <c r="C9" s="1"/>
      <c r="D9" s="1"/>
      <c r="E9" s="1"/>
    </row>
    <row r="10" ht="12.75" customHeight="1">
      <c r="A10" s="2">
        <v>42430.0</v>
      </c>
      <c r="B10" s="3">
        <v>2196309.0</v>
      </c>
      <c r="C10" s="1"/>
      <c r="D10" s="1"/>
      <c r="E10" s="1"/>
    </row>
    <row r="11" ht="12.75" customHeight="1">
      <c r="A11" s="2">
        <v>42522.0</v>
      </c>
      <c r="B11" s="3">
        <v>2405065.0</v>
      </c>
      <c r="C11" s="1"/>
      <c r="D11" s="1"/>
      <c r="E11" s="1"/>
    </row>
    <row r="12" ht="12.75" customHeight="1">
      <c r="A12" s="2">
        <v>42614.0</v>
      </c>
      <c r="B12" s="3">
        <v>2580607.0</v>
      </c>
      <c r="C12" s="1"/>
      <c r="D12" s="1"/>
      <c r="E12" s="1"/>
    </row>
    <row r="13" ht="12.75" customHeight="1">
      <c r="A13" s="2">
        <v>42705.0</v>
      </c>
      <c r="B13" s="3">
        <v>2967371.0</v>
      </c>
      <c r="C13" s="1"/>
      <c r="D13" s="1"/>
      <c r="E13" s="1"/>
    </row>
    <row r="14" ht="12.75" customHeight="1">
      <c r="A14" s="2">
        <v>42795.0</v>
      </c>
      <c r="B14" s="3">
        <v>1.3033979E7</v>
      </c>
      <c r="C14" s="1"/>
      <c r="D14" s="1"/>
      <c r="E14" s="1"/>
    </row>
    <row r="15" ht="12.75" customHeight="1">
      <c r="A15" s="2">
        <v>42887.0</v>
      </c>
      <c r="B15" s="3">
        <v>5078654.0</v>
      </c>
      <c r="C15" s="1"/>
      <c r="D15" s="1"/>
      <c r="E15" s="1"/>
    </row>
    <row r="16" ht="12.75" customHeight="1">
      <c r="A16" s="2">
        <v>42979.0</v>
      </c>
      <c r="B16" s="3">
        <v>3737484.0</v>
      </c>
      <c r="C16" s="1"/>
      <c r="D16" s="1"/>
      <c r="E16" s="1"/>
    </row>
    <row r="17" ht="12.75" customHeight="1">
      <c r="A17" s="2">
        <v>43070.0</v>
      </c>
      <c r="B17" s="3">
        <v>4427747.0</v>
      </c>
      <c r="C17" s="1"/>
      <c r="D17" s="1"/>
      <c r="E17" s="1"/>
    </row>
    <row r="18" ht="12.75" customHeight="1">
      <c r="A18" s="2">
        <v>43160.0</v>
      </c>
      <c r="B18" s="3">
        <v>5947375.0</v>
      </c>
      <c r="C18" s="1"/>
      <c r="D18" s="1"/>
      <c r="E18" s="1"/>
    </row>
    <row r="19" ht="12.75" customHeight="1">
      <c r="A19" s="2">
        <v>43252.0</v>
      </c>
      <c r="B19" s="3">
        <v>4324630.0</v>
      </c>
      <c r="C19" s="1"/>
      <c r="D19" s="1"/>
      <c r="E19" s="1"/>
    </row>
    <row r="20" ht="12.75" customHeight="1">
      <c r="A20" s="2">
        <v>43344.0</v>
      </c>
      <c r="B20" s="3">
        <v>3190081.0</v>
      </c>
      <c r="C20" s="1"/>
      <c r="D20" s="1"/>
      <c r="E20" s="1"/>
    </row>
    <row r="21" ht="12.75" customHeight="1">
      <c r="A21" s="2">
        <v>43435.0</v>
      </c>
      <c r="B21" s="3">
        <v>3221334.0</v>
      </c>
      <c r="C21" s="1"/>
      <c r="D21" s="1"/>
      <c r="E21" s="1"/>
    </row>
    <row r="22" ht="12.75" customHeight="1">
      <c r="A22" s="2">
        <v>43525.0</v>
      </c>
      <c r="B22" s="3">
        <v>8881927.0</v>
      </c>
      <c r="C22" s="1"/>
      <c r="D22" s="1"/>
      <c r="E22" s="1"/>
    </row>
    <row r="23" ht="12.75" customHeight="1">
      <c r="A23" s="2">
        <v>43617.0</v>
      </c>
      <c r="B23" s="3">
        <v>9955273.0</v>
      </c>
      <c r="C23" s="1"/>
      <c r="D23" s="1"/>
      <c r="E23" s="1"/>
    </row>
    <row r="24" ht="12.75" customHeight="1">
      <c r="A24" s="2">
        <v>43709.0</v>
      </c>
      <c r="B24" s="3">
        <v>2863208.0</v>
      </c>
      <c r="C24" s="1"/>
      <c r="D24" s="1"/>
      <c r="E24" s="1"/>
    </row>
    <row r="25" ht="12.75" customHeight="1">
      <c r="A25" s="2">
        <v>43800.0</v>
      </c>
      <c r="B25" s="3">
        <v>3410080.0</v>
      </c>
      <c r="C25" s="1"/>
      <c r="D25" s="1"/>
      <c r="E25" s="1"/>
    </row>
    <row r="26" ht="12.75" customHeight="1">
      <c r="A26" s="2">
        <v>43891.0</v>
      </c>
      <c r="B26" s="3">
        <v>3559844.0</v>
      </c>
      <c r="C26" s="1"/>
      <c r="D26" s="1"/>
      <c r="E26" s="1"/>
    </row>
    <row r="27" ht="12.75" customHeight="1">
      <c r="A27" s="2">
        <v>43983.0</v>
      </c>
      <c r="B27" s="3">
        <v>3.7251868E7</v>
      </c>
      <c r="C27" s="1"/>
      <c r="D27" s="1"/>
      <c r="E27" s="1"/>
    </row>
    <row r="28" ht="12.75" customHeight="1">
      <c r="A28" s="2">
        <v>44075.0</v>
      </c>
      <c r="B28" s="3">
        <v>4027002.0</v>
      </c>
      <c r="C28" s="1"/>
      <c r="D28" s="1"/>
      <c r="E28" s="1"/>
    </row>
    <row r="29" ht="12.75" customHeight="1">
      <c r="A29" s="2">
        <v>44166.0</v>
      </c>
      <c r="B29" s="3">
        <v>4046735.0</v>
      </c>
      <c r="C29" s="1"/>
      <c r="D29" s="1"/>
      <c r="E29" s="1"/>
    </row>
    <row r="30" ht="12.75" customHeight="1">
      <c r="A30" s="2">
        <v>44256.0</v>
      </c>
      <c r="B30" s="3">
        <v>7871586.0</v>
      </c>
      <c r="C30" s="1"/>
      <c r="D30" s="1"/>
      <c r="E30" s="1"/>
    </row>
    <row r="31" ht="12.75" customHeight="1">
      <c r="A31" s="2">
        <v>44348.0</v>
      </c>
      <c r="B31" s="3">
        <v>4134295.0</v>
      </c>
      <c r="C31" s="1"/>
      <c r="D31" s="1"/>
      <c r="E31" s="1"/>
    </row>
    <row r="32" ht="12.75" customHeight="1">
      <c r="A32" s="2">
        <v>44440.0</v>
      </c>
      <c r="B32" s="3">
        <v>1.0507156E7</v>
      </c>
      <c r="C32" s="1"/>
      <c r="D32" s="1"/>
      <c r="E32" s="1"/>
    </row>
    <row r="33" ht="12.75" customHeight="1">
      <c r="A33" s="2">
        <v>44531.0</v>
      </c>
      <c r="B33" s="3">
        <v>9718785.0</v>
      </c>
      <c r="C33" s="1"/>
      <c r="D33" s="1"/>
      <c r="E33" s="1"/>
    </row>
    <row r="34" ht="12.75" customHeight="1">
      <c r="A34" s="2">
        <v>44621.0</v>
      </c>
      <c r="B34" s="3">
        <v>5.3417325E7</v>
      </c>
      <c r="C34" s="1"/>
      <c r="D34" s="1"/>
      <c r="E34" s="1"/>
    </row>
    <row r="35" ht="12.75" customHeight="1">
      <c r="A35" s="2">
        <v>44713.0</v>
      </c>
      <c r="B35" s="3">
        <v>2.0627625E7</v>
      </c>
      <c r="C35" s="1"/>
      <c r="D35" s="1"/>
      <c r="E35" s="1"/>
    </row>
    <row r="36" ht="12.75" customHeight="1">
      <c r="A36" s="2">
        <v>44805.0</v>
      </c>
      <c r="B36" s="3">
        <v>318783.0</v>
      </c>
      <c r="C36" s="1"/>
      <c r="D36" s="1"/>
      <c r="E36" s="1"/>
    </row>
    <row r="37" ht="12.75" customHeight="1">
      <c r="A37" s="2">
        <v>44896.0</v>
      </c>
      <c r="B37" s="3">
        <v>5741971.0</v>
      </c>
      <c r="C37" s="1"/>
      <c r="D37" s="1"/>
      <c r="E37" s="1"/>
    </row>
    <row r="38" ht="12.75" customHeight="1">
      <c r="A38" s="2">
        <v>44986.0</v>
      </c>
      <c r="B38" s="3">
        <v>4301943.0</v>
      </c>
      <c r="C38" s="1"/>
      <c r="D38" s="1"/>
      <c r="E38" s="1"/>
    </row>
    <row r="39" ht="12.75" customHeight="1">
      <c r="A39" s="2">
        <v>45078.0</v>
      </c>
      <c r="B39" s="3">
        <v>1238233.0</v>
      </c>
      <c r="C39" s="1"/>
      <c r="D39" s="1"/>
      <c r="E39" s="1"/>
    </row>
    <row r="40" ht="12.75" customHeight="1">
      <c r="A40" s="2">
        <v>45170.0</v>
      </c>
      <c r="B40" s="3">
        <v>1802185.0</v>
      </c>
      <c r="C40" s="1"/>
      <c r="D40" s="1"/>
      <c r="E40" s="1"/>
    </row>
    <row r="41" ht="12.75" customHeight="1">
      <c r="A41" s="2">
        <v>45261.0</v>
      </c>
      <c r="B41" s="3">
        <v>2.8972562E7</v>
      </c>
      <c r="C41" s="1"/>
      <c r="D41" s="1"/>
      <c r="E41" s="1"/>
    </row>
    <row r="42" ht="12.75" customHeight="1">
      <c r="A42" s="2">
        <v>45352.0</v>
      </c>
      <c r="B42" s="3">
        <v>1.0283239E7</v>
      </c>
      <c r="C42" s="3">
        <v>1.0283239E7</v>
      </c>
      <c r="D42" s="3">
        <v>1.0283239E7</v>
      </c>
      <c r="E42" s="3">
        <v>1.0283239E7</v>
      </c>
    </row>
    <row r="43" ht="12.75" customHeight="1">
      <c r="A43" s="2">
        <v>45444.0</v>
      </c>
      <c r="B43" s="1"/>
      <c r="C43" s="3" t="str">
        <f t="shared" ref="C43:C63" si="1">_xlfn.FORECAST.ETS(A43,$B$2:$B$42,$A$2:$A$42,1,1)</f>
        <v>#NAME?</v>
      </c>
      <c r="D43" s="3" t="str">
        <f t="shared" ref="D43:D63" si="2">C43-_xlfn.FORECAST.ETS.CONFINT(A43,$B$2:$B$42,$A$2:$A$42,0.95,1,1)</f>
        <v>#NAME?</v>
      </c>
      <c r="E43" s="3" t="str">
        <f t="shared" ref="E43:E63" si="3">C43+_xlfn.FORECAST.ETS.CONFINT(A43,$B$2:$B$42,$A$2:$A$42,0.95,1,1)</f>
        <v>#NAME?</v>
      </c>
    </row>
    <row r="44" ht="12.75" customHeight="1">
      <c r="A44" s="2">
        <v>45536.0</v>
      </c>
      <c r="B44" s="1"/>
      <c r="C44" s="3" t="str">
        <f t="shared" si="1"/>
        <v>#NAME?</v>
      </c>
      <c r="D44" s="3" t="str">
        <f t="shared" si="2"/>
        <v>#NAME?</v>
      </c>
      <c r="E44" s="3" t="str">
        <f t="shared" si="3"/>
        <v>#NAME?</v>
      </c>
    </row>
    <row r="45" ht="12.75" customHeight="1">
      <c r="A45" s="2">
        <v>45627.0</v>
      </c>
      <c r="B45" s="1"/>
      <c r="C45" s="3" t="str">
        <f t="shared" si="1"/>
        <v>#NAME?</v>
      </c>
      <c r="D45" s="3" t="str">
        <f t="shared" si="2"/>
        <v>#NAME?</v>
      </c>
      <c r="E45" s="3" t="str">
        <f t="shared" si="3"/>
        <v>#NAME?</v>
      </c>
    </row>
    <row r="46" ht="12.75" customHeight="1">
      <c r="A46" s="2">
        <v>45717.0</v>
      </c>
      <c r="B46" s="1"/>
      <c r="C46" s="3" t="str">
        <f t="shared" si="1"/>
        <v>#NAME?</v>
      </c>
      <c r="D46" s="3" t="str">
        <f t="shared" si="2"/>
        <v>#NAME?</v>
      </c>
      <c r="E46" s="3" t="str">
        <f t="shared" si="3"/>
        <v>#NAME?</v>
      </c>
    </row>
    <row r="47" ht="12.75" customHeight="1">
      <c r="A47" s="2">
        <v>45809.0</v>
      </c>
      <c r="B47" s="1"/>
      <c r="C47" s="3" t="str">
        <f t="shared" si="1"/>
        <v>#NAME?</v>
      </c>
      <c r="D47" s="3" t="str">
        <f t="shared" si="2"/>
        <v>#NAME?</v>
      </c>
      <c r="E47" s="3" t="str">
        <f t="shared" si="3"/>
        <v>#NAME?</v>
      </c>
    </row>
    <row r="48" ht="12.75" customHeight="1">
      <c r="A48" s="2">
        <v>45901.0</v>
      </c>
      <c r="B48" s="1"/>
      <c r="C48" s="3" t="str">
        <f t="shared" si="1"/>
        <v>#NAME?</v>
      </c>
      <c r="D48" s="3" t="str">
        <f t="shared" si="2"/>
        <v>#NAME?</v>
      </c>
      <c r="E48" s="3" t="str">
        <f t="shared" si="3"/>
        <v>#NAME?</v>
      </c>
    </row>
    <row r="49" ht="12.75" customHeight="1">
      <c r="A49" s="2">
        <v>45992.0</v>
      </c>
      <c r="B49" s="1"/>
      <c r="C49" s="3" t="str">
        <f t="shared" si="1"/>
        <v>#NAME?</v>
      </c>
      <c r="D49" s="3" t="str">
        <f t="shared" si="2"/>
        <v>#NAME?</v>
      </c>
      <c r="E49" s="3" t="str">
        <f t="shared" si="3"/>
        <v>#NAME?</v>
      </c>
    </row>
    <row r="50" ht="12.75" customHeight="1">
      <c r="A50" s="2">
        <v>46082.0</v>
      </c>
      <c r="B50" s="1"/>
      <c r="C50" s="3" t="str">
        <f t="shared" si="1"/>
        <v>#NAME?</v>
      </c>
      <c r="D50" s="3" t="str">
        <f t="shared" si="2"/>
        <v>#NAME?</v>
      </c>
      <c r="E50" s="3" t="str">
        <f t="shared" si="3"/>
        <v>#NAME?</v>
      </c>
    </row>
    <row r="51" ht="12.75" customHeight="1">
      <c r="A51" s="2">
        <v>46174.0</v>
      </c>
      <c r="B51" s="1"/>
      <c r="C51" s="3" t="str">
        <f t="shared" si="1"/>
        <v>#NAME?</v>
      </c>
      <c r="D51" s="3" t="str">
        <f t="shared" si="2"/>
        <v>#NAME?</v>
      </c>
      <c r="E51" s="3" t="str">
        <f t="shared" si="3"/>
        <v>#NAME?</v>
      </c>
    </row>
    <row r="52" ht="12.75" customHeight="1">
      <c r="A52" s="2">
        <v>46266.0</v>
      </c>
      <c r="B52" s="1"/>
      <c r="C52" s="3" t="str">
        <f t="shared" si="1"/>
        <v>#NAME?</v>
      </c>
      <c r="D52" s="3" t="str">
        <f t="shared" si="2"/>
        <v>#NAME?</v>
      </c>
      <c r="E52" s="3" t="str">
        <f t="shared" si="3"/>
        <v>#NAME?</v>
      </c>
    </row>
    <row r="53" ht="12.75" customHeight="1">
      <c r="A53" s="2">
        <v>46357.0</v>
      </c>
      <c r="B53" s="1"/>
      <c r="C53" s="3" t="str">
        <f t="shared" si="1"/>
        <v>#NAME?</v>
      </c>
      <c r="D53" s="3" t="str">
        <f t="shared" si="2"/>
        <v>#NAME?</v>
      </c>
      <c r="E53" s="3" t="str">
        <f t="shared" si="3"/>
        <v>#NAME?</v>
      </c>
    </row>
    <row r="54" ht="12.75" customHeight="1">
      <c r="A54" s="2">
        <v>46447.0</v>
      </c>
      <c r="B54" s="1"/>
      <c r="C54" s="3" t="str">
        <f t="shared" si="1"/>
        <v>#NAME?</v>
      </c>
      <c r="D54" s="3" t="str">
        <f t="shared" si="2"/>
        <v>#NAME?</v>
      </c>
      <c r="E54" s="3" t="str">
        <f t="shared" si="3"/>
        <v>#NAME?</v>
      </c>
    </row>
    <row r="55" ht="12.75" customHeight="1">
      <c r="A55" s="2">
        <v>46539.0</v>
      </c>
      <c r="B55" s="1"/>
      <c r="C55" s="3" t="str">
        <f t="shared" si="1"/>
        <v>#NAME?</v>
      </c>
      <c r="D55" s="3" t="str">
        <f t="shared" si="2"/>
        <v>#NAME?</v>
      </c>
      <c r="E55" s="3" t="str">
        <f t="shared" si="3"/>
        <v>#NAME?</v>
      </c>
    </row>
    <row r="56" ht="12.75" customHeight="1">
      <c r="A56" s="2">
        <v>46631.0</v>
      </c>
      <c r="B56" s="1"/>
      <c r="C56" s="3" t="str">
        <f t="shared" si="1"/>
        <v>#NAME?</v>
      </c>
      <c r="D56" s="3" t="str">
        <f t="shared" si="2"/>
        <v>#NAME?</v>
      </c>
      <c r="E56" s="3" t="str">
        <f t="shared" si="3"/>
        <v>#NAME?</v>
      </c>
    </row>
    <row r="57" ht="12.75" customHeight="1">
      <c r="A57" s="2">
        <v>46722.0</v>
      </c>
      <c r="B57" s="1"/>
      <c r="C57" s="3" t="str">
        <f t="shared" si="1"/>
        <v>#NAME?</v>
      </c>
      <c r="D57" s="3" t="str">
        <f t="shared" si="2"/>
        <v>#NAME?</v>
      </c>
      <c r="E57" s="3" t="str">
        <f t="shared" si="3"/>
        <v>#NAME?</v>
      </c>
    </row>
    <row r="58" ht="12.75" customHeight="1">
      <c r="A58" s="2">
        <v>46813.0</v>
      </c>
      <c r="B58" s="1"/>
      <c r="C58" s="3" t="str">
        <f t="shared" si="1"/>
        <v>#NAME?</v>
      </c>
      <c r="D58" s="3" t="str">
        <f t="shared" si="2"/>
        <v>#NAME?</v>
      </c>
      <c r="E58" s="3" t="str">
        <f t="shared" si="3"/>
        <v>#NAME?</v>
      </c>
    </row>
    <row r="59" ht="12.75" customHeight="1">
      <c r="A59" s="2">
        <v>46905.0</v>
      </c>
      <c r="B59" s="1"/>
      <c r="C59" s="3" t="str">
        <f t="shared" si="1"/>
        <v>#NAME?</v>
      </c>
      <c r="D59" s="3" t="str">
        <f t="shared" si="2"/>
        <v>#NAME?</v>
      </c>
      <c r="E59" s="3" t="str">
        <f t="shared" si="3"/>
        <v>#NAME?</v>
      </c>
    </row>
    <row r="60" ht="12.75" customHeight="1">
      <c r="A60" s="2">
        <v>46997.0</v>
      </c>
      <c r="B60" s="1"/>
      <c r="C60" s="3" t="str">
        <f t="shared" si="1"/>
        <v>#NAME?</v>
      </c>
      <c r="D60" s="3" t="str">
        <f t="shared" si="2"/>
        <v>#NAME?</v>
      </c>
      <c r="E60" s="3" t="str">
        <f t="shared" si="3"/>
        <v>#NAME?</v>
      </c>
    </row>
    <row r="61" ht="12.75" customHeight="1">
      <c r="A61" s="2">
        <v>47088.0</v>
      </c>
      <c r="B61" s="1"/>
      <c r="C61" s="3" t="str">
        <f t="shared" si="1"/>
        <v>#NAME?</v>
      </c>
      <c r="D61" s="3" t="str">
        <f t="shared" si="2"/>
        <v>#NAME?</v>
      </c>
      <c r="E61" s="3" t="str">
        <f t="shared" si="3"/>
        <v>#NAME?</v>
      </c>
    </row>
    <row r="62" ht="12.75" customHeight="1">
      <c r="A62" s="2">
        <v>47178.0</v>
      </c>
      <c r="B62" s="1"/>
      <c r="C62" s="3" t="str">
        <f t="shared" si="1"/>
        <v>#NAME?</v>
      </c>
      <c r="D62" s="3" t="str">
        <f t="shared" si="2"/>
        <v>#NAME?</v>
      </c>
      <c r="E62" s="3" t="str">
        <f t="shared" si="3"/>
        <v>#NAME?</v>
      </c>
    </row>
    <row r="63" ht="12.75" customHeight="1">
      <c r="A63" s="2">
        <v>47208.0</v>
      </c>
      <c r="B63" s="1"/>
      <c r="C63" s="3" t="str">
        <f t="shared" si="1"/>
        <v>#NAME?</v>
      </c>
      <c r="D63" s="3" t="str">
        <f t="shared" si="2"/>
        <v>#NAME?</v>
      </c>
      <c r="E63" s="3" t="str">
        <f t="shared" si="3"/>
        <v>#NAME?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5.88"/>
    <col customWidth="1" min="3" max="3" width="24.88"/>
    <col customWidth="1" min="4" max="5" width="39.25"/>
    <col customWidth="1" min="6" max="26" width="8.63"/>
  </cols>
  <sheetData>
    <row r="1" ht="12.75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ht="12.75" customHeight="1">
      <c r="A2" s="2">
        <v>41699.0</v>
      </c>
      <c r="B2" s="3">
        <v>1.30660608E8</v>
      </c>
      <c r="C2" s="1"/>
      <c r="D2" s="1"/>
      <c r="E2" s="1"/>
    </row>
    <row r="3" ht="12.75" customHeight="1">
      <c r="A3" s="2">
        <v>41791.0</v>
      </c>
      <c r="B3" s="3">
        <v>1.3133399E8</v>
      </c>
      <c r="C3" s="1"/>
      <c r="D3" s="1"/>
      <c r="E3" s="1"/>
    </row>
    <row r="4" ht="12.75" customHeight="1">
      <c r="A4" s="2">
        <v>41883.0</v>
      </c>
      <c r="B4" s="3">
        <v>1.54150141E8</v>
      </c>
      <c r="C4" s="1"/>
      <c r="D4" s="1"/>
      <c r="E4" s="1"/>
    </row>
    <row r="5" ht="12.75" customHeight="1">
      <c r="A5" s="2">
        <v>41974.0</v>
      </c>
      <c r="B5" s="3">
        <v>1.669609E8</v>
      </c>
      <c r="C5" s="1"/>
      <c r="D5" s="1"/>
      <c r="E5" s="1"/>
    </row>
    <row r="6" ht="12.75" customHeight="1">
      <c r="A6" s="2">
        <v>42064.0</v>
      </c>
      <c r="B6" s="3">
        <v>1.88797138E8</v>
      </c>
      <c r="C6" s="1"/>
      <c r="D6" s="1"/>
      <c r="E6" s="1"/>
    </row>
    <row r="7" ht="12.75" customHeight="1">
      <c r="A7" s="2">
        <v>42156.0</v>
      </c>
      <c r="B7" s="3">
        <v>2.06755537E8</v>
      </c>
      <c r="C7" s="1"/>
      <c r="D7" s="1"/>
      <c r="E7" s="1"/>
    </row>
    <row r="8" ht="12.75" customHeight="1">
      <c r="A8" s="2">
        <v>42248.0</v>
      </c>
      <c r="B8" s="3">
        <v>2.30605159E8</v>
      </c>
      <c r="C8" s="1"/>
      <c r="D8" s="1"/>
      <c r="E8" s="1"/>
    </row>
    <row r="9" ht="12.75" customHeight="1">
      <c r="A9" s="2">
        <v>42339.0</v>
      </c>
      <c r="B9" s="3">
        <v>2.55023812E8</v>
      </c>
      <c r="C9" s="1"/>
      <c r="D9" s="1"/>
      <c r="E9" s="1"/>
    </row>
    <row r="10" ht="12.75" customHeight="1">
      <c r="A10" s="2">
        <v>42430.0</v>
      </c>
      <c r="B10" s="3">
        <v>3.13218328E8</v>
      </c>
      <c r="C10" s="1"/>
      <c r="D10" s="1"/>
      <c r="E10" s="1"/>
    </row>
    <row r="11" ht="12.75" customHeight="1">
      <c r="A11" s="2">
        <v>42522.0</v>
      </c>
      <c r="B11" s="3">
        <v>3.25887011E8</v>
      </c>
      <c r="C11" s="1"/>
      <c r="D11" s="1"/>
      <c r="E11" s="1"/>
    </row>
    <row r="12" ht="12.75" customHeight="1">
      <c r="A12" s="2">
        <v>42614.0</v>
      </c>
      <c r="B12" s="3">
        <v>3.4266024E8</v>
      </c>
      <c r="C12" s="1"/>
      <c r="D12" s="1"/>
      <c r="E12" s="1"/>
    </row>
    <row r="13" ht="12.75" customHeight="1">
      <c r="A13" s="2">
        <v>42705.0</v>
      </c>
      <c r="B13" s="3">
        <v>3.56274134E8</v>
      </c>
      <c r="C13" s="1"/>
      <c r="D13" s="1"/>
      <c r="E13" s="1"/>
    </row>
    <row r="14" ht="12.75" customHeight="1">
      <c r="A14" s="2">
        <v>42795.0</v>
      </c>
      <c r="B14" s="3">
        <v>5.38309001E8</v>
      </c>
      <c r="C14" s="1"/>
      <c r="D14" s="1"/>
      <c r="E14" s="1"/>
    </row>
    <row r="15" ht="12.75" customHeight="1">
      <c r="A15" s="2">
        <v>42887.0</v>
      </c>
      <c r="B15" s="3">
        <v>5.83145147E8</v>
      </c>
      <c r="C15" s="1"/>
      <c r="D15" s="1"/>
      <c r="E15" s="1"/>
    </row>
    <row r="16" ht="12.75" customHeight="1">
      <c r="A16" s="2">
        <v>42979.0</v>
      </c>
      <c r="B16" s="3">
        <v>6.3789957E8</v>
      </c>
      <c r="C16" s="1"/>
      <c r="D16" s="1"/>
      <c r="E16" s="1"/>
    </row>
    <row r="17" ht="12.75" customHeight="1">
      <c r="A17" s="2">
        <v>43070.0</v>
      </c>
      <c r="B17" s="3">
        <v>6.54315435E8</v>
      </c>
      <c r="C17" s="1"/>
      <c r="D17" s="1"/>
      <c r="E17" s="1"/>
    </row>
    <row r="18" ht="12.75" customHeight="1">
      <c r="A18" s="2">
        <v>43160.0</v>
      </c>
      <c r="B18" s="3">
        <v>7.04070277E8</v>
      </c>
      <c r="C18" s="1"/>
      <c r="D18" s="1"/>
      <c r="E18" s="1"/>
    </row>
    <row r="19" ht="12.75" customHeight="1">
      <c r="A19" s="2">
        <v>43252.0</v>
      </c>
      <c r="B19" s="3">
        <v>7.08934242E8</v>
      </c>
      <c r="C19" s="1"/>
      <c r="D19" s="1"/>
      <c r="E19" s="1"/>
    </row>
    <row r="20" ht="12.75" customHeight="1">
      <c r="A20" s="2">
        <v>43344.0</v>
      </c>
      <c r="B20" s="3">
        <v>7.98485355E8</v>
      </c>
      <c r="C20" s="1"/>
      <c r="D20" s="1"/>
      <c r="E20" s="1"/>
    </row>
    <row r="21" ht="12.75" customHeight="1">
      <c r="A21" s="2">
        <v>43435.0</v>
      </c>
      <c r="B21" s="3">
        <v>8.69691023E8</v>
      </c>
      <c r="C21" s="1"/>
      <c r="D21" s="1"/>
      <c r="E21" s="1"/>
    </row>
    <row r="22" ht="12.75" customHeight="1">
      <c r="A22" s="2">
        <v>43525.0</v>
      </c>
      <c r="B22" s="3">
        <v>8.91980592E8</v>
      </c>
      <c r="C22" s="1"/>
      <c r="D22" s="1"/>
      <c r="E22" s="1"/>
    </row>
    <row r="23" ht="12.75" customHeight="1">
      <c r="A23" s="2">
        <v>43617.0</v>
      </c>
      <c r="B23" s="3">
        <v>9.55084702E8</v>
      </c>
      <c r="C23" s="1"/>
      <c r="D23" s="1"/>
      <c r="E23" s="1"/>
    </row>
    <row r="24" ht="12.75" customHeight="1">
      <c r="A24" s="2">
        <v>43709.0</v>
      </c>
      <c r="B24" s="3">
        <v>1.023478776E9</v>
      </c>
      <c r="C24" s="1"/>
      <c r="D24" s="1"/>
      <c r="E24" s="1"/>
    </row>
    <row r="25" ht="12.75" customHeight="1">
      <c r="A25" s="2">
        <v>43800.0</v>
      </c>
      <c r="B25" s="3">
        <v>1.071060816E9</v>
      </c>
      <c r="C25" s="1"/>
      <c r="D25" s="1"/>
      <c r="E25" s="1"/>
    </row>
    <row r="26" ht="12.75" customHeight="1">
      <c r="A26" s="2">
        <v>43891.0</v>
      </c>
      <c r="B26" s="3">
        <v>1.123352952E9</v>
      </c>
      <c r="C26" s="1"/>
      <c r="D26" s="1"/>
      <c r="E26" s="1"/>
    </row>
    <row r="27" ht="12.75" customHeight="1">
      <c r="A27" s="2">
        <v>43983.0</v>
      </c>
      <c r="B27" s="3">
        <v>5.727591E8</v>
      </c>
      <c r="C27" s="1"/>
      <c r="D27" s="1"/>
      <c r="E27" s="1"/>
    </row>
    <row r="28" ht="12.75" customHeight="1">
      <c r="A28" s="2">
        <v>44075.0</v>
      </c>
      <c r="B28" s="3">
        <v>5.6518152E8</v>
      </c>
      <c r="C28" s="1"/>
      <c r="D28" s="1"/>
      <c r="E28" s="1"/>
    </row>
    <row r="29" ht="12.75" customHeight="1">
      <c r="A29" s="2">
        <v>44166.0</v>
      </c>
      <c r="B29" s="3">
        <v>5.94914907E8</v>
      </c>
      <c r="C29" s="1"/>
      <c r="D29" s="1"/>
      <c r="E29" s="1"/>
    </row>
    <row r="30" ht="12.75" customHeight="1">
      <c r="A30" s="2">
        <v>44256.0</v>
      </c>
      <c r="B30" s="3">
        <v>6.3675164E8</v>
      </c>
      <c r="C30" s="1"/>
      <c r="D30" s="1"/>
      <c r="E30" s="1"/>
    </row>
    <row r="31" ht="12.75" customHeight="1">
      <c r="A31" s="2">
        <v>44348.0</v>
      </c>
      <c r="B31" s="3">
        <v>6.85959297E8</v>
      </c>
      <c r="C31" s="1"/>
      <c r="D31" s="1"/>
      <c r="E31" s="1"/>
    </row>
    <row r="32" ht="12.75" customHeight="1">
      <c r="A32" s="2">
        <v>44440.0</v>
      </c>
      <c r="B32" s="3">
        <v>7.11753253E8</v>
      </c>
      <c r="C32" s="1"/>
      <c r="D32" s="1"/>
      <c r="E32" s="1"/>
    </row>
    <row r="33" ht="12.75" customHeight="1">
      <c r="A33" s="2">
        <v>44531.0</v>
      </c>
      <c r="B33" s="3">
        <v>7.51972496E8</v>
      </c>
      <c r="C33" s="1"/>
      <c r="D33" s="1"/>
      <c r="E33" s="1"/>
    </row>
    <row r="34" ht="12.75" customHeight="1">
      <c r="A34" s="2">
        <v>44621.0</v>
      </c>
      <c r="B34" s="3">
        <v>9.51400782E8</v>
      </c>
      <c r="C34" s="1"/>
      <c r="D34" s="1"/>
      <c r="E34" s="1"/>
    </row>
    <row r="35" ht="12.75" customHeight="1">
      <c r="A35" s="2">
        <v>44713.0</v>
      </c>
      <c r="B35" s="3">
        <v>1.217095996E9</v>
      </c>
      <c r="C35" s="1"/>
      <c r="D35" s="1"/>
      <c r="E35" s="1"/>
    </row>
    <row r="36" ht="12.75" customHeight="1">
      <c r="A36" s="2">
        <v>44805.0</v>
      </c>
      <c r="B36" s="3">
        <v>1.231423914E9</v>
      </c>
      <c r="C36" s="1"/>
      <c r="D36" s="1"/>
      <c r="E36" s="1"/>
    </row>
    <row r="37" ht="12.75" customHeight="1">
      <c r="A37" s="2">
        <v>44896.0</v>
      </c>
      <c r="B37" s="3">
        <v>1.25370896E9</v>
      </c>
      <c r="C37" s="1"/>
      <c r="D37" s="1"/>
      <c r="E37" s="1"/>
    </row>
    <row r="38" ht="12.75" customHeight="1">
      <c r="A38" s="2">
        <v>44986.0</v>
      </c>
      <c r="B38" s="3">
        <v>1.13216364E9</v>
      </c>
      <c r="C38" s="1"/>
      <c r="D38" s="1"/>
      <c r="E38" s="1"/>
    </row>
    <row r="39" ht="12.75" customHeight="1">
      <c r="A39" s="2">
        <v>45078.0</v>
      </c>
      <c r="B39" s="3">
        <v>1.112947076E9</v>
      </c>
      <c r="C39" s="1"/>
      <c r="D39" s="1"/>
      <c r="E39" s="1"/>
    </row>
    <row r="40" ht="12.75" customHeight="1">
      <c r="A40" s="2">
        <v>45170.0</v>
      </c>
      <c r="B40" s="3">
        <v>1.197823452E9</v>
      </c>
      <c r="C40" s="1"/>
      <c r="D40" s="1"/>
      <c r="E40" s="1"/>
    </row>
    <row r="41" ht="12.75" customHeight="1">
      <c r="A41" s="2">
        <v>45261.0</v>
      </c>
      <c r="B41" s="3">
        <v>1.244655907E9</v>
      </c>
      <c r="C41" s="1"/>
      <c r="D41" s="1"/>
      <c r="E41" s="1"/>
    </row>
    <row r="42" ht="12.75" customHeight="1">
      <c r="A42" s="2">
        <v>45352.0</v>
      </c>
      <c r="B42" s="3">
        <v>1.246425984E9</v>
      </c>
      <c r="C42" s="3">
        <v>1.246425984E9</v>
      </c>
      <c r="D42" s="3">
        <v>1.246425984E9</v>
      </c>
      <c r="E42" s="3">
        <v>1.246425984E9</v>
      </c>
    </row>
    <row r="43" ht="12.75" customHeight="1">
      <c r="A43" s="2">
        <v>45444.0</v>
      </c>
      <c r="B43" s="1"/>
      <c r="C43" s="3" t="str">
        <f t="shared" ref="C43:C63" si="1">_xlfn.FORECAST.ETS(A43,$B$2:$B$42,$A$2:$A$42,1,1)</f>
        <v>#NAME?</v>
      </c>
      <c r="D43" s="3" t="str">
        <f t="shared" ref="D43:D63" si="2">C43-_xlfn.FORECAST.ETS.CONFINT(A43,$B$2:$B$42,$A$2:$A$42,0.95,1,1)</f>
        <v>#NAME?</v>
      </c>
      <c r="E43" s="3" t="str">
        <f t="shared" ref="E43:E63" si="3">C43+_xlfn.FORECAST.ETS.CONFINT(A43,$B$2:$B$42,$A$2:$A$42,0.95,1,1)</f>
        <v>#NAME?</v>
      </c>
    </row>
    <row r="44" ht="12.75" customHeight="1">
      <c r="A44" s="2">
        <v>45536.0</v>
      </c>
      <c r="B44" s="1"/>
      <c r="C44" s="3" t="str">
        <f t="shared" si="1"/>
        <v>#NAME?</v>
      </c>
      <c r="D44" s="3" t="str">
        <f t="shared" si="2"/>
        <v>#NAME?</v>
      </c>
      <c r="E44" s="3" t="str">
        <f t="shared" si="3"/>
        <v>#NAME?</v>
      </c>
    </row>
    <row r="45" ht="12.75" customHeight="1">
      <c r="A45" s="2">
        <v>45627.0</v>
      </c>
      <c r="B45" s="1"/>
      <c r="C45" s="3" t="str">
        <f t="shared" si="1"/>
        <v>#NAME?</v>
      </c>
      <c r="D45" s="3" t="str">
        <f t="shared" si="2"/>
        <v>#NAME?</v>
      </c>
      <c r="E45" s="3" t="str">
        <f t="shared" si="3"/>
        <v>#NAME?</v>
      </c>
    </row>
    <row r="46" ht="12.75" customHeight="1">
      <c r="A46" s="2">
        <v>45717.0</v>
      </c>
      <c r="B46" s="1"/>
      <c r="C46" s="3" t="str">
        <f t="shared" si="1"/>
        <v>#NAME?</v>
      </c>
      <c r="D46" s="3" t="str">
        <f t="shared" si="2"/>
        <v>#NAME?</v>
      </c>
      <c r="E46" s="3" t="str">
        <f t="shared" si="3"/>
        <v>#NAME?</v>
      </c>
    </row>
    <row r="47" ht="12.75" customHeight="1">
      <c r="A47" s="2">
        <v>45809.0</v>
      </c>
      <c r="B47" s="1"/>
      <c r="C47" s="3" t="str">
        <f t="shared" si="1"/>
        <v>#NAME?</v>
      </c>
      <c r="D47" s="3" t="str">
        <f t="shared" si="2"/>
        <v>#NAME?</v>
      </c>
      <c r="E47" s="3" t="str">
        <f t="shared" si="3"/>
        <v>#NAME?</v>
      </c>
    </row>
    <row r="48" ht="12.75" customHeight="1">
      <c r="A48" s="2">
        <v>45901.0</v>
      </c>
      <c r="B48" s="1"/>
      <c r="C48" s="3" t="str">
        <f t="shared" si="1"/>
        <v>#NAME?</v>
      </c>
      <c r="D48" s="3" t="str">
        <f t="shared" si="2"/>
        <v>#NAME?</v>
      </c>
      <c r="E48" s="3" t="str">
        <f t="shared" si="3"/>
        <v>#NAME?</v>
      </c>
    </row>
    <row r="49" ht="12.75" customHeight="1">
      <c r="A49" s="2">
        <v>45992.0</v>
      </c>
      <c r="B49" s="1"/>
      <c r="C49" s="3" t="str">
        <f t="shared" si="1"/>
        <v>#NAME?</v>
      </c>
      <c r="D49" s="3" t="str">
        <f t="shared" si="2"/>
        <v>#NAME?</v>
      </c>
      <c r="E49" s="3" t="str">
        <f t="shared" si="3"/>
        <v>#NAME?</v>
      </c>
    </row>
    <row r="50" ht="12.75" customHeight="1">
      <c r="A50" s="2">
        <v>46082.0</v>
      </c>
      <c r="B50" s="1"/>
      <c r="C50" s="3" t="str">
        <f t="shared" si="1"/>
        <v>#NAME?</v>
      </c>
      <c r="D50" s="3" t="str">
        <f t="shared" si="2"/>
        <v>#NAME?</v>
      </c>
      <c r="E50" s="3" t="str">
        <f t="shared" si="3"/>
        <v>#NAME?</v>
      </c>
    </row>
    <row r="51" ht="12.75" customHeight="1">
      <c r="A51" s="2">
        <v>46174.0</v>
      </c>
      <c r="B51" s="1"/>
      <c r="C51" s="3" t="str">
        <f t="shared" si="1"/>
        <v>#NAME?</v>
      </c>
      <c r="D51" s="3" t="str">
        <f t="shared" si="2"/>
        <v>#NAME?</v>
      </c>
      <c r="E51" s="3" t="str">
        <f t="shared" si="3"/>
        <v>#NAME?</v>
      </c>
    </row>
    <row r="52" ht="12.75" customHeight="1">
      <c r="A52" s="2">
        <v>46266.0</v>
      </c>
      <c r="B52" s="1"/>
      <c r="C52" s="3" t="str">
        <f t="shared" si="1"/>
        <v>#NAME?</v>
      </c>
      <c r="D52" s="3" t="str">
        <f t="shared" si="2"/>
        <v>#NAME?</v>
      </c>
      <c r="E52" s="3" t="str">
        <f t="shared" si="3"/>
        <v>#NAME?</v>
      </c>
    </row>
    <row r="53" ht="12.75" customHeight="1">
      <c r="A53" s="2">
        <v>46357.0</v>
      </c>
      <c r="B53" s="1"/>
      <c r="C53" s="3" t="str">
        <f t="shared" si="1"/>
        <v>#NAME?</v>
      </c>
      <c r="D53" s="3" t="str">
        <f t="shared" si="2"/>
        <v>#NAME?</v>
      </c>
      <c r="E53" s="3" t="str">
        <f t="shared" si="3"/>
        <v>#NAME?</v>
      </c>
    </row>
    <row r="54" ht="12.75" customHeight="1">
      <c r="A54" s="2">
        <v>46447.0</v>
      </c>
      <c r="B54" s="1"/>
      <c r="C54" s="3" t="str">
        <f t="shared" si="1"/>
        <v>#NAME?</v>
      </c>
      <c r="D54" s="3" t="str">
        <f t="shared" si="2"/>
        <v>#NAME?</v>
      </c>
      <c r="E54" s="3" t="str">
        <f t="shared" si="3"/>
        <v>#NAME?</v>
      </c>
    </row>
    <row r="55" ht="12.75" customHeight="1">
      <c r="A55" s="2">
        <v>46539.0</v>
      </c>
      <c r="B55" s="1"/>
      <c r="C55" s="3" t="str">
        <f t="shared" si="1"/>
        <v>#NAME?</v>
      </c>
      <c r="D55" s="3" t="str">
        <f t="shared" si="2"/>
        <v>#NAME?</v>
      </c>
      <c r="E55" s="3" t="str">
        <f t="shared" si="3"/>
        <v>#NAME?</v>
      </c>
    </row>
    <row r="56" ht="12.75" customHeight="1">
      <c r="A56" s="2">
        <v>46631.0</v>
      </c>
      <c r="B56" s="1"/>
      <c r="C56" s="3" t="str">
        <f t="shared" si="1"/>
        <v>#NAME?</v>
      </c>
      <c r="D56" s="3" t="str">
        <f t="shared" si="2"/>
        <v>#NAME?</v>
      </c>
      <c r="E56" s="3" t="str">
        <f t="shared" si="3"/>
        <v>#NAME?</v>
      </c>
    </row>
    <row r="57" ht="12.75" customHeight="1">
      <c r="A57" s="2">
        <v>46722.0</v>
      </c>
      <c r="B57" s="1"/>
      <c r="C57" s="3" t="str">
        <f t="shared" si="1"/>
        <v>#NAME?</v>
      </c>
      <c r="D57" s="3" t="str">
        <f t="shared" si="2"/>
        <v>#NAME?</v>
      </c>
      <c r="E57" s="3" t="str">
        <f t="shared" si="3"/>
        <v>#NAME?</v>
      </c>
    </row>
    <row r="58" ht="12.75" customHeight="1">
      <c r="A58" s="2">
        <v>46813.0</v>
      </c>
      <c r="B58" s="1"/>
      <c r="C58" s="3" t="str">
        <f t="shared" si="1"/>
        <v>#NAME?</v>
      </c>
      <c r="D58" s="3" t="str">
        <f t="shared" si="2"/>
        <v>#NAME?</v>
      </c>
      <c r="E58" s="3" t="str">
        <f t="shared" si="3"/>
        <v>#NAME?</v>
      </c>
    </row>
    <row r="59" ht="12.75" customHeight="1">
      <c r="A59" s="2">
        <v>46905.0</v>
      </c>
      <c r="B59" s="1"/>
      <c r="C59" s="3" t="str">
        <f t="shared" si="1"/>
        <v>#NAME?</v>
      </c>
      <c r="D59" s="3" t="str">
        <f t="shared" si="2"/>
        <v>#NAME?</v>
      </c>
      <c r="E59" s="3" t="str">
        <f t="shared" si="3"/>
        <v>#NAME?</v>
      </c>
    </row>
    <row r="60" ht="12.75" customHeight="1">
      <c r="A60" s="2">
        <v>46997.0</v>
      </c>
      <c r="B60" s="1"/>
      <c r="C60" s="3" t="str">
        <f t="shared" si="1"/>
        <v>#NAME?</v>
      </c>
      <c r="D60" s="3" t="str">
        <f t="shared" si="2"/>
        <v>#NAME?</v>
      </c>
      <c r="E60" s="3" t="str">
        <f t="shared" si="3"/>
        <v>#NAME?</v>
      </c>
    </row>
    <row r="61" ht="12.75" customHeight="1">
      <c r="A61" s="2">
        <v>47088.0</v>
      </c>
      <c r="B61" s="1"/>
      <c r="C61" s="3" t="str">
        <f t="shared" si="1"/>
        <v>#NAME?</v>
      </c>
      <c r="D61" s="3" t="str">
        <f t="shared" si="2"/>
        <v>#NAME?</v>
      </c>
      <c r="E61" s="3" t="str">
        <f t="shared" si="3"/>
        <v>#NAME?</v>
      </c>
    </row>
    <row r="62" ht="12.75" customHeight="1">
      <c r="A62" s="2">
        <v>47178.0</v>
      </c>
      <c r="B62" s="1"/>
      <c r="C62" s="3" t="str">
        <f t="shared" si="1"/>
        <v>#NAME?</v>
      </c>
      <c r="D62" s="3" t="str">
        <f t="shared" si="2"/>
        <v>#NAME?</v>
      </c>
      <c r="E62" s="3" t="str">
        <f t="shared" si="3"/>
        <v>#NAME?</v>
      </c>
    </row>
    <row r="63" ht="12.75" customHeight="1">
      <c r="A63" s="2">
        <v>47208.0</v>
      </c>
      <c r="B63" s="1"/>
      <c r="C63" s="3" t="str">
        <f t="shared" si="1"/>
        <v>#NAME?</v>
      </c>
      <c r="D63" s="3" t="str">
        <f t="shared" si="2"/>
        <v>#NAME?</v>
      </c>
      <c r="E63" s="3" t="str">
        <f t="shared" si="3"/>
        <v>#NAME?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2.88"/>
    <col customWidth="1" min="3" max="3" width="21.88"/>
    <col customWidth="1" min="4" max="5" width="36.25"/>
    <col customWidth="1" min="6" max="26" width="8.63"/>
  </cols>
  <sheetData>
    <row r="1" ht="12.75" customHeight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ht="12.75" customHeight="1">
      <c r="A2" s="2">
        <v>41699.0</v>
      </c>
      <c r="B2" s="3">
        <v>1204699.0</v>
      </c>
      <c r="C2" s="1"/>
      <c r="D2" s="1"/>
      <c r="E2" s="1"/>
    </row>
    <row r="3" ht="12.75" customHeight="1">
      <c r="A3" s="2">
        <v>41791.0</v>
      </c>
      <c r="B3" s="3">
        <v>621214.0</v>
      </c>
      <c r="C3" s="1"/>
      <c r="D3" s="1"/>
      <c r="E3" s="1"/>
    </row>
    <row r="4" ht="12.75" customHeight="1">
      <c r="A4" s="2">
        <v>41883.0</v>
      </c>
      <c r="B4" s="3">
        <v>793836.0</v>
      </c>
      <c r="C4" s="1"/>
      <c r="D4" s="1"/>
      <c r="E4" s="1"/>
    </row>
    <row r="5" ht="12.75" customHeight="1">
      <c r="A5" s="2">
        <v>41974.0</v>
      </c>
      <c r="B5" s="3">
        <v>923870.0</v>
      </c>
      <c r="C5" s="1"/>
      <c r="D5" s="1"/>
      <c r="E5" s="1"/>
    </row>
    <row r="6" ht="12.75" customHeight="1">
      <c r="A6" s="2">
        <v>42064.0</v>
      </c>
      <c r="B6" s="3">
        <v>1226011.0</v>
      </c>
      <c r="C6" s="1"/>
      <c r="D6" s="1"/>
      <c r="E6" s="1"/>
    </row>
    <row r="7" ht="12.75" customHeight="1">
      <c r="A7" s="2">
        <v>42156.0</v>
      </c>
      <c r="B7" s="3">
        <v>1449960.0</v>
      </c>
      <c r="C7" s="1"/>
      <c r="D7" s="1"/>
      <c r="E7" s="1"/>
    </row>
    <row r="8" ht="12.75" customHeight="1">
      <c r="A8" s="2">
        <v>42248.0</v>
      </c>
      <c r="B8" s="3">
        <v>1603769.0</v>
      </c>
      <c r="C8" s="1"/>
      <c r="D8" s="1"/>
      <c r="E8" s="1"/>
    </row>
    <row r="9" ht="12.75" customHeight="1">
      <c r="A9" s="2">
        <v>42339.0</v>
      </c>
      <c r="B9" s="3">
        <v>1688881.0</v>
      </c>
      <c r="C9" s="1"/>
      <c r="D9" s="1"/>
      <c r="E9" s="1"/>
    </row>
    <row r="10" ht="12.75" customHeight="1">
      <c r="A10" s="2">
        <v>42430.0</v>
      </c>
      <c r="B10" s="3">
        <v>2824063.0</v>
      </c>
      <c r="C10" s="1"/>
      <c r="D10" s="1"/>
      <c r="E10" s="1"/>
    </row>
    <row r="11" ht="12.75" customHeight="1">
      <c r="A11" s="2">
        <v>42522.0</v>
      </c>
      <c r="B11" s="3">
        <v>1909734.0</v>
      </c>
      <c r="C11" s="1"/>
      <c r="D11" s="1"/>
      <c r="E11" s="1"/>
    </row>
    <row r="12" ht="12.75" customHeight="1">
      <c r="A12" s="2">
        <v>42614.0</v>
      </c>
      <c r="B12" s="3">
        <v>2471955.0</v>
      </c>
      <c r="C12" s="1"/>
      <c r="D12" s="1"/>
      <c r="E12" s="1"/>
    </row>
    <row r="13" ht="12.75" customHeight="1">
      <c r="A13" s="2">
        <v>42705.0</v>
      </c>
      <c r="B13" s="3">
        <v>2444222.0</v>
      </c>
      <c r="C13" s="1"/>
      <c r="D13" s="1"/>
      <c r="E13" s="1"/>
    </row>
    <row r="14" ht="12.75" customHeight="1">
      <c r="A14" s="2">
        <v>42795.0</v>
      </c>
      <c r="B14" s="3">
        <v>2995745.0</v>
      </c>
      <c r="C14" s="1"/>
      <c r="D14" s="1"/>
      <c r="E14" s="1"/>
    </row>
    <row r="15" ht="12.75" customHeight="1">
      <c r="A15" s="2">
        <v>42887.0</v>
      </c>
      <c r="B15" s="3">
        <v>1888333.0</v>
      </c>
      <c r="C15" s="1"/>
      <c r="D15" s="1"/>
      <c r="E15" s="1"/>
    </row>
    <row r="16" ht="12.75" customHeight="1">
      <c r="A16" s="2">
        <v>42979.0</v>
      </c>
      <c r="B16" s="3">
        <v>2007473.0</v>
      </c>
      <c r="C16" s="1"/>
      <c r="D16" s="1"/>
      <c r="E16" s="1"/>
    </row>
    <row r="17" ht="12.75" customHeight="1">
      <c r="A17" s="2">
        <v>43070.0</v>
      </c>
      <c r="B17" s="3">
        <v>2014108.0</v>
      </c>
      <c r="C17" s="1"/>
      <c r="D17" s="1"/>
      <c r="E17" s="1"/>
    </row>
    <row r="18" ht="12.75" customHeight="1">
      <c r="A18" s="2">
        <v>43160.0</v>
      </c>
      <c r="B18" s="3">
        <v>1288389.0</v>
      </c>
      <c r="C18" s="1"/>
      <c r="D18" s="1"/>
      <c r="E18" s="1"/>
    </row>
    <row r="19" ht="12.75" customHeight="1">
      <c r="A19" s="2">
        <v>43252.0</v>
      </c>
      <c r="B19" s="3">
        <v>1575735.0</v>
      </c>
      <c r="C19" s="1"/>
      <c r="D19" s="1"/>
      <c r="E19" s="1"/>
    </row>
    <row r="20" ht="12.75" customHeight="1">
      <c r="A20" s="2">
        <v>43344.0</v>
      </c>
      <c r="B20" s="3">
        <v>1631793.0</v>
      </c>
      <c r="C20" s="1"/>
      <c r="D20" s="1"/>
      <c r="E20" s="1"/>
    </row>
    <row r="21" ht="12.75" customHeight="1">
      <c r="A21" s="2">
        <v>43435.0</v>
      </c>
      <c r="B21" s="3">
        <v>2133132.0</v>
      </c>
      <c r="C21" s="1"/>
      <c r="D21" s="1"/>
      <c r="E21" s="1"/>
    </row>
    <row r="22" ht="12.75" customHeight="1">
      <c r="A22" s="2">
        <v>43525.0</v>
      </c>
      <c r="B22" s="3">
        <v>2404967.0</v>
      </c>
      <c r="C22" s="1"/>
      <c r="D22" s="1"/>
      <c r="E22" s="1"/>
    </row>
    <row r="23" ht="12.75" customHeight="1">
      <c r="A23" s="2">
        <v>43617.0</v>
      </c>
      <c r="B23" s="3">
        <v>1637239.0</v>
      </c>
      <c r="C23" s="1"/>
      <c r="D23" s="1"/>
      <c r="E23" s="1"/>
    </row>
    <row r="24" ht="12.75" customHeight="1">
      <c r="A24" s="2">
        <v>43709.0</v>
      </c>
      <c r="B24" s="3">
        <v>1969665.0</v>
      </c>
      <c r="C24" s="1"/>
      <c r="D24" s="1"/>
      <c r="E24" s="1"/>
    </row>
    <row r="25" ht="12.75" customHeight="1">
      <c r="A25" s="2">
        <v>43800.0</v>
      </c>
      <c r="B25" s="3">
        <v>2258593.0</v>
      </c>
      <c r="C25" s="1"/>
      <c r="D25" s="1"/>
      <c r="E25" s="1"/>
    </row>
    <row r="26" ht="12.75" customHeight="1">
      <c r="A26" s="2">
        <v>43891.0</v>
      </c>
      <c r="B26" s="3">
        <v>2046983.0</v>
      </c>
      <c r="C26" s="1"/>
      <c r="D26" s="1"/>
      <c r="E26" s="1"/>
    </row>
    <row r="27" ht="12.75" customHeight="1">
      <c r="A27" s="2">
        <v>43983.0</v>
      </c>
      <c r="B27" s="3">
        <v>1676024.0</v>
      </c>
      <c r="C27" s="1"/>
      <c r="D27" s="1"/>
      <c r="E27" s="1"/>
    </row>
    <row r="28" ht="12.75" customHeight="1">
      <c r="A28" s="2">
        <v>44075.0</v>
      </c>
      <c r="B28" s="3">
        <v>3147950.0</v>
      </c>
      <c r="C28" s="1"/>
      <c r="D28" s="1"/>
      <c r="E28" s="1"/>
    </row>
    <row r="29" ht="12.75" customHeight="1">
      <c r="A29" s="2">
        <v>44166.0</v>
      </c>
      <c r="B29" s="3">
        <v>2390509.0</v>
      </c>
      <c r="C29" s="1"/>
      <c r="D29" s="1"/>
      <c r="E29" s="1"/>
    </row>
    <row r="30" ht="12.75" customHeight="1">
      <c r="A30" s="2">
        <v>44256.0</v>
      </c>
      <c r="B30" s="3">
        <v>3244730.0</v>
      </c>
      <c r="C30" s="1"/>
      <c r="D30" s="1"/>
      <c r="E30" s="1"/>
    </row>
    <row r="31" ht="12.75" customHeight="1">
      <c r="A31" s="2">
        <v>44348.0</v>
      </c>
      <c r="B31" s="3">
        <v>3043184.0</v>
      </c>
      <c r="C31" s="1"/>
      <c r="D31" s="1"/>
      <c r="E31" s="1"/>
    </row>
    <row r="32" ht="12.75" customHeight="1">
      <c r="A32" s="2">
        <v>44440.0</v>
      </c>
      <c r="B32" s="3">
        <v>3160344.0</v>
      </c>
      <c r="C32" s="1"/>
      <c r="D32" s="1"/>
      <c r="E32" s="1"/>
    </row>
    <row r="33" ht="12.75" customHeight="1">
      <c r="A33" s="2">
        <v>44531.0</v>
      </c>
      <c r="B33" s="3">
        <v>4253456.0</v>
      </c>
      <c r="C33" s="1"/>
      <c r="D33" s="1"/>
      <c r="E33" s="1"/>
    </row>
    <row r="34" ht="12.75" customHeight="1">
      <c r="A34" s="2">
        <v>44621.0</v>
      </c>
      <c r="B34" s="3">
        <v>4980287.0</v>
      </c>
      <c r="C34" s="1"/>
      <c r="D34" s="1"/>
      <c r="E34" s="1"/>
    </row>
    <row r="35" ht="12.75" customHeight="1">
      <c r="A35" s="2">
        <v>44713.0</v>
      </c>
      <c r="B35" s="3">
        <v>7390062.0</v>
      </c>
      <c r="C35" s="1"/>
      <c r="D35" s="1"/>
      <c r="E35" s="1"/>
    </row>
    <row r="36" ht="12.75" customHeight="1">
      <c r="A36" s="2">
        <v>44805.0</v>
      </c>
      <c r="B36" s="3">
        <v>6502012.0</v>
      </c>
      <c r="C36" s="1"/>
      <c r="D36" s="1"/>
      <c r="E36" s="1"/>
    </row>
    <row r="37" ht="12.75" customHeight="1">
      <c r="A37" s="2">
        <v>44896.0</v>
      </c>
      <c r="B37" s="3">
        <v>8145351.0</v>
      </c>
      <c r="C37" s="1"/>
      <c r="D37" s="1"/>
      <c r="E37" s="1"/>
    </row>
    <row r="38" ht="12.75" customHeight="1">
      <c r="A38" s="2">
        <v>44986.0</v>
      </c>
      <c r="B38" s="3">
        <v>3872461.0</v>
      </c>
      <c r="C38" s="1"/>
      <c r="D38" s="1"/>
      <c r="E38" s="1"/>
    </row>
    <row r="39" ht="12.75" customHeight="1">
      <c r="A39" s="2">
        <v>45078.0</v>
      </c>
      <c r="B39" s="3">
        <v>6531003.0</v>
      </c>
      <c r="C39" s="1"/>
      <c r="D39" s="1"/>
      <c r="E39" s="1"/>
    </row>
    <row r="40" ht="12.75" customHeight="1">
      <c r="A40" s="2">
        <v>45170.0</v>
      </c>
      <c r="B40" s="3">
        <v>5020882.0</v>
      </c>
      <c r="C40" s="1"/>
      <c r="D40" s="1"/>
      <c r="E40" s="1"/>
    </row>
    <row r="41" ht="12.75" customHeight="1">
      <c r="A41" s="2">
        <v>45261.0</v>
      </c>
      <c r="B41" s="3">
        <v>5075172.0</v>
      </c>
      <c r="C41" s="1"/>
      <c r="D41" s="1"/>
      <c r="E41" s="1"/>
    </row>
    <row r="42" ht="12.75" customHeight="1">
      <c r="A42" s="2">
        <v>45352.0</v>
      </c>
      <c r="B42" s="3">
        <v>1.1085261E7</v>
      </c>
      <c r="C42" s="3">
        <v>1.1085261E7</v>
      </c>
      <c r="D42" s="3">
        <v>1.1085261E7</v>
      </c>
      <c r="E42" s="3">
        <v>1.1085261E7</v>
      </c>
    </row>
    <row r="43" ht="12.75" customHeight="1">
      <c r="A43" s="2">
        <v>45444.0</v>
      </c>
      <c r="B43" s="1"/>
      <c r="C43" s="3" t="str">
        <f t="shared" ref="C43:C63" si="1">_xlfn.FORECAST.ETS(A43,$B$2:$B$42,$A$2:$A$42,1,1)</f>
        <v>#NAME?</v>
      </c>
      <c r="D43" s="3" t="str">
        <f t="shared" ref="D43:D63" si="2">C43-_xlfn.FORECAST.ETS.CONFINT(A43,$B$2:$B$42,$A$2:$A$42,0.95,1,1)</f>
        <v>#NAME?</v>
      </c>
      <c r="E43" s="3" t="str">
        <f t="shared" ref="E43:E63" si="3">C43+_xlfn.FORECAST.ETS.CONFINT(A43,$B$2:$B$42,$A$2:$A$42,0.95,1,1)</f>
        <v>#NAME?</v>
      </c>
    </row>
    <row r="44" ht="12.75" customHeight="1">
      <c r="A44" s="2">
        <v>45536.0</v>
      </c>
      <c r="B44" s="1"/>
      <c r="C44" s="3" t="str">
        <f t="shared" si="1"/>
        <v>#NAME?</v>
      </c>
      <c r="D44" s="3" t="str">
        <f t="shared" si="2"/>
        <v>#NAME?</v>
      </c>
      <c r="E44" s="3" t="str">
        <f t="shared" si="3"/>
        <v>#NAME?</v>
      </c>
    </row>
    <row r="45" ht="12.75" customHeight="1">
      <c r="A45" s="2">
        <v>45627.0</v>
      </c>
      <c r="B45" s="1"/>
      <c r="C45" s="3" t="str">
        <f t="shared" si="1"/>
        <v>#NAME?</v>
      </c>
      <c r="D45" s="3" t="str">
        <f t="shared" si="2"/>
        <v>#NAME?</v>
      </c>
      <c r="E45" s="3" t="str">
        <f t="shared" si="3"/>
        <v>#NAME?</v>
      </c>
    </row>
    <row r="46" ht="12.75" customHeight="1">
      <c r="A46" s="2">
        <v>45717.0</v>
      </c>
      <c r="B46" s="1"/>
      <c r="C46" s="3" t="str">
        <f t="shared" si="1"/>
        <v>#NAME?</v>
      </c>
      <c r="D46" s="3" t="str">
        <f t="shared" si="2"/>
        <v>#NAME?</v>
      </c>
      <c r="E46" s="3" t="str">
        <f t="shared" si="3"/>
        <v>#NAME?</v>
      </c>
    </row>
    <row r="47" ht="12.75" customHeight="1">
      <c r="A47" s="2">
        <v>45809.0</v>
      </c>
      <c r="B47" s="1"/>
      <c r="C47" s="3" t="str">
        <f t="shared" si="1"/>
        <v>#NAME?</v>
      </c>
      <c r="D47" s="3" t="str">
        <f t="shared" si="2"/>
        <v>#NAME?</v>
      </c>
      <c r="E47" s="3" t="str">
        <f t="shared" si="3"/>
        <v>#NAME?</v>
      </c>
    </row>
    <row r="48" ht="12.75" customHeight="1">
      <c r="A48" s="2">
        <v>45901.0</v>
      </c>
      <c r="B48" s="1"/>
      <c r="C48" s="3" t="str">
        <f t="shared" si="1"/>
        <v>#NAME?</v>
      </c>
      <c r="D48" s="3" t="str">
        <f t="shared" si="2"/>
        <v>#NAME?</v>
      </c>
      <c r="E48" s="3" t="str">
        <f t="shared" si="3"/>
        <v>#NAME?</v>
      </c>
    </row>
    <row r="49" ht="12.75" customHeight="1">
      <c r="A49" s="2">
        <v>45992.0</v>
      </c>
      <c r="B49" s="1"/>
      <c r="C49" s="3" t="str">
        <f t="shared" si="1"/>
        <v>#NAME?</v>
      </c>
      <c r="D49" s="3" t="str">
        <f t="shared" si="2"/>
        <v>#NAME?</v>
      </c>
      <c r="E49" s="3" t="str">
        <f t="shared" si="3"/>
        <v>#NAME?</v>
      </c>
    </row>
    <row r="50" ht="12.75" customHeight="1">
      <c r="A50" s="2">
        <v>46082.0</v>
      </c>
      <c r="B50" s="1"/>
      <c r="C50" s="3" t="str">
        <f t="shared" si="1"/>
        <v>#NAME?</v>
      </c>
      <c r="D50" s="3" t="str">
        <f t="shared" si="2"/>
        <v>#NAME?</v>
      </c>
      <c r="E50" s="3" t="str">
        <f t="shared" si="3"/>
        <v>#NAME?</v>
      </c>
    </row>
    <row r="51" ht="12.75" customHeight="1">
      <c r="A51" s="2">
        <v>46174.0</v>
      </c>
      <c r="B51" s="1"/>
      <c r="C51" s="3" t="str">
        <f t="shared" si="1"/>
        <v>#NAME?</v>
      </c>
      <c r="D51" s="3" t="str">
        <f t="shared" si="2"/>
        <v>#NAME?</v>
      </c>
      <c r="E51" s="3" t="str">
        <f t="shared" si="3"/>
        <v>#NAME?</v>
      </c>
    </row>
    <row r="52" ht="12.75" customHeight="1">
      <c r="A52" s="2">
        <v>46266.0</v>
      </c>
      <c r="B52" s="1"/>
      <c r="C52" s="3" t="str">
        <f t="shared" si="1"/>
        <v>#NAME?</v>
      </c>
      <c r="D52" s="3" t="str">
        <f t="shared" si="2"/>
        <v>#NAME?</v>
      </c>
      <c r="E52" s="3" t="str">
        <f t="shared" si="3"/>
        <v>#NAME?</v>
      </c>
    </row>
    <row r="53" ht="12.75" customHeight="1">
      <c r="A53" s="2">
        <v>46357.0</v>
      </c>
      <c r="B53" s="1"/>
      <c r="C53" s="3" t="str">
        <f t="shared" si="1"/>
        <v>#NAME?</v>
      </c>
      <c r="D53" s="3" t="str">
        <f t="shared" si="2"/>
        <v>#NAME?</v>
      </c>
      <c r="E53" s="3" t="str">
        <f t="shared" si="3"/>
        <v>#NAME?</v>
      </c>
    </row>
    <row r="54" ht="12.75" customHeight="1">
      <c r="A54" s="2">
        <v>46447.0</v>
      </c>
      <c r="B54" s="1"/>
      <c r="C54" s="3" t="str">
        <f t="shared" si="1"/>
        <v>#NAME?</v>
      </c>
      <c r="D54" s="3" t="str">
        <f t="shared" si="2"/>
        <v>#NAME?</v>
      </c>
      <c r="E54" s="3" t="str">
        <f t="shared" si="3"/>
        <v>#NAME?</v>
      </c>
    </row>
    <row r="55" ht="12.75" customHeight="1">
      <c r="A55" s="2">
        <v>46539.0</v>
      </c>
      <c r="B55" s="1"/>
      <c r="C55" s="3" t="str">
        <f t="shared" si="1"/>
        <v>#NAME?</v>
      </c>
      <c r="D55" s="3" t="str">
        <f t="shared" si="2"/>
        <v>#NAME?</v>
      </c>
      <c r="E55" s="3" t="str">
        <f t="shared" si="3"/>
        <v>#NAME?</v>
      </c>
    </row>
    <row r="56" ht="12.75" customHeight="1">
      <c r="A56" s="2">
        <v>46631.0</v>
      </c>
      <c r="B56" s="1"/>
      <c r="C56" s="3" t="str">
        <f t="shared" si="1"/>
        <v>#NAME?</v>
      </c>
      <c r="D56" s="3" t="str">
        <f t="shared" si="2"/>
        <v>#NAME?</v>
      </c>
      <c r="E56" s="3" t="str">
        <f t="shared" si="3"/>
        <v>#NAME?</v>
      </c>
    </row>
    <row r="57" ht="12.75" customHeight="1">
      <c r="A57" s="2">
        <v>46722.0</v>
      </c>
      <c r="B57" s="1"/>
      <c r="C57" s="3" t="str">
        <f t="shared" si="1"/>
        <v>#NAME?</v>
      </c>
      <c r="D57" s="3" t="str">
        <f t="shared" si="2"/>
        <v>#NAME?</v>
      </c>
      <c r="E57" s="3" t="str">
        <f t="shared" si="3"/>
        <v>#NAME?</v>
      </c>
    </row>
    <row r="58" ht="12.75" customHeight="1">
      <c r="A58" s="2">
        <v>46813.0</v>
      </c>
      <c r="B58" s="1"/>
      <c r="C58" s="3" t="str">
        <f t="shared" si="1"/>
        <v>#NAME?</v>
      </c>
      <c r="D58" s="3" t="str">
        <f t="shared" si="2"/>
        <v>#NAME?</v>
      </c>
      <c r="E58" s="3" t="str">
        <f t="shared" si="3"/>
        <v>#NAME?</v>
      </c>
    </row>
    <row r="59" ht="12.75" customHeight="1">
      <c r="A59" s="2">
        <v>46905.0</v>
      </c>
      <c r="B59" s="1"/>
      <c r="C59" s="3" t="str">
        <f t="shared" si="1"/>
        <v>#NAME?</v>
      </c>
      <c r="D59" s="3" t="str">
        <f t="shared" si="2"/>
        <v>#NAME?</v>
      </c>
      <c r="E59" s="3" t="str">
        <f t="shared" si="3"/>
        <v>#NAME?</v>
      </c>
    </row>
    <row r="60" ht="12.75" customHeight="1">
      <c r="A60" s="2">
        <v>46997.0</v>
      </c>
      <c r="B60" s="1"/>
      <c r="C60" s="3" t="str">
        <f t="shared" si="1"/>
        <v>#NAME?</v>
      </c>
      <c r="D60" s="3" t="str">
        <f t="shared" si="2"/>
        <v>#NAME?</v>
      </c>
      <c r="E60" s="3" t="str">
        <f t="shared" si="3"/>
        <v>#NAME?</v>
      </c>
    </row>
    <row r="61" ht="12.75" customHeight="1">
      <c r="A61" s="2">
        <v>47088.0</v>
      </c>
      <c r="B61" s="1"/>
      <c r="C61" s="3" t="str">
        <f t="shared" si="1"/>
        <v>#NAME?</v>
      </c>
      <c r="D61" s="3" t="str">
        <f t="shared" si="2"/>
        <v>#NAME?</v>
      </c>
      <c r="E61" s="3" t="str">
        <f t="shared" si="3"/>
        <v>#NAME?</v>
      </c>
    </row>
    <row r="62" ht="12.75" customHeight="1">
      <c r="A62" s="2">
        <v>47178.0</v>
      </c>
      <c r="B62" s="1"/>
      <c r="C62" s="3" t="str">
        <f t="shared" si="1"/>
        <v>#NAME?</v>
      </c>
      <c r="D62" s="3" t="str">
        <f t="shared" si="2"/>
        <v>#NAME?</v>
      </c>
      <c r="E62" s="3" t="str">
        <f t="shared" si="3"/>
        <v>#NAME?</v>
      </c>
    </row>
    <row r="63" ht="12.75" customHeight="1">
      <c r="A63" s="2">
        <v>47208.0</v>
      </c>
      <c r="B63" s="1"/>
      <c r="C63" s="3" t="str">
        <f t="shared" si="1"/>
        <v>#NAME?</v>
      </c>
      <c r="D63" s="3" t="str">
        <f t="shared" si="2"/>
        <v>#NAME?</v>
      </c>
      <c r="E63" s="3" t="str">
        <f t="shared" si="3"/>
        <v>#NAME?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75"/>
    <col customWidth="1" min="3" max="3" width="22.75"/>
    <col customWidth="1" min="4" max="4" width="37.13"/>
    <col customWidth="1" min="5" max="5" width="37.0"/>
    <col customWidth="1" min="6" max="26" width="8.63"/>
  </cols>
  <sheetData>
    <row r="1" ht="12.75" customHeight="1">
      <c r="A1" s="1" t="s">
        <v>0</v>
      </c>
      <c r="B1" s="1" t="s">
        <v>16</v>
      </c>
      <c r="C1" s="1" t="s">
        <v>17</v>
      </c>
      <c r="D1" s="1" t="s">
        <v>18</v>
      </c>
      <c r="E1" s="1" t="s">
        <v>11</v>
      </c>
    </row>
    <row r="2" ht="12.75" customHeight="1">
      <c r="A2" s="2">
        <v>41699.0</v>
      </c>
      <c r="B2" s="3">
        <v>1.75460498E8</v>
      </c>
      <c r="C2" s="1"/>
      <c r="D2" s="1"/>
      <c r="E2" s="1"/>
    </row>
    <row r="3" ht="12.75" customHeight="1">
      <c r="A3" s="2">
        <v>41791.0</v>
      </c>
      <c r="B3" s="3">
        <v>1.77180703E8</v>
      </c>
      <c r="C3" s="1"/>
      <c r="D3" s="1"/>
      <c r="E3" s="1"/>
    </row>
    <row r="4" ht="12.75" customHeight="1">
      <c r="A4" s="2">
        <v>41883.0</v>
      </c>
      <c r="B4" s="3">
        <v>2.04314999E8</v>
      </c>
      <c r="C4" s="1"/>
      <c r="D4" s="1"/>
      <c r="E4" s="1"/>
    </row>
    <row r="5" ht="12.75" customHeight="1">
      <c r="A5" s="2">
        <v>41974.0</v>
      </c>
      <c r="B5" s="3">
        <v>2.14286292E8</v>
      </c>
      <c r="C5" s="1"/>
      <c r="D5" s="1"/>
      <c r="E5" s="1"/>
    </row>
    <row r="6" ht="12.75" customHeight="1">
      <c r="A6" s="2">
        <v>42064.0</v>
      </c>
      <c r="B6" s="3">
        <v>2.45970406E8</v>
      </c>
      <c r="C6" s="1"/>
      <c r="D6" s="1"/>
      <c r="E6" s="1"/>
    </row>
    <row r="7" ht="12.75" customHeight="1">
      <c r="A7" s="2">
        <v>42156.0</v>
      </c>
      <c r="B7" s="3">
        <v>2.65826696E8</v>
      </c>
      <c r="C7" s="1"/>
      <c r="D7" s="1"/>
      <c r="E7" s="1"/>
    </row>
    <row r="8" ht="12.75" customHeight="1">
      <c r="A8" s="2">
        <v>42248.0</v>
      </c>
      <c r="B8" s="3">
        <v>2.92433074E8</v>
      </c>
      <c r="C8" s="1"/>
      <c r="D8" s="1"/>
      <c r="E8" s="1"/>
    </row>
    <row r="9" ht="12.75" customHeight="1">
      <c r="A9" s="2">
        <v>42339.0</v>
      </c>
      <c r="B9" s="3">
        <v>3.17413478E8</v>
      </c>
      <c r="C9" s="1"/>
      <c r="D9" s="1"/>
      <c r="E9" s="1"/>
    </row>
    <row r="10" ht="12.75" customHeight="1">
      <c r="A10" s="2">
        <v>42430.0</v>
      </c>
      <c r="B10" s="3">
        <v>3.79384198E8</v>
      </c>
      <c r="C10" s="1"/>
      <c r="D10" s="1"/>
      <c r="E10" s="1"/>
    </row>
    <row r="11" ht="12.75" customHeight="1">
      <c r="A11" s="2">
        <v>42522.0</v>
      </c>
      <c r="B11" s="3">
        <v>3.94590272E8</v>
      </c>
      <c r="C11" s="1"/>
      <c r="D11" s="1"/>
      <c r="E11" s="1"/>
    </row>
    <row r="12" ht="12.75" customHeight="1">
      <c r="A12" s="2">
        <v>42614.0</v>
      </c>
      <c r="B12" s="3">
        <v>4.12723891E8</v>
      </c>
      <c r="C12" s="1"/>
      <c r="D12" s="1"/>
      <c r="E12" s="1"/>
    </row>
    <row r="13" ht="12.75" customHeight="1">
      <c r="A13" s="2">
        <v>42705.0</v>
      </c>
      <c r="B13" s="3">
        <v>4.28854994E8</v>
      </c>
      <c r="C13" s="1"/>
      <c r="D13" s="1"/>
      <c r="E13" s="1"/>
    </row>
    <row r="14" ht="12.75" customHeight="1">
      <c r="A14" s="2">
        <v>42795.0</v>
      </c>
      <c r="B14" s="3">
        <v>6.40924839E8</v>
      </c>
      <c r="C14" s="1"/>
      <c r="D14" s="1"/>
      <c r="E14" s="1"/>
    </row>
    <row r="15" ht="12.75" customHeight="1">
      <c r="A15" s="2">
        <v>42887.0</v>
      </c>
      <c r="B15" s="3">
        <v>6.90280408E8</v>
      </c>
      <c r="C15" s="1"/>
      <c r="D15" s="1"/>
      <c r="E15" s="1"/>
    </row>
    <row r="16" ht="12.75" customHeight="1">
      <c r="A16" s="2">
        <v>42979.0</v>
      </c>
      <c r="B16" s="3">
        <v>7.47970928E8</v>
      </c>
      <c r="C16" s="1"/>
      <c r="D16" s="1"/>
      <c r="E16" s="1"/>
    </row>
    <row r="17" ht="12.75" customHeight="1">
      <c r="A17" s="2">
        <v>43070.0</v>
      </c>
      <c r="B17" s="3">
        <v>7.70223988E8</v>
      </c>
      <c r="C17" s="1"/>
      <c r="D17" s="1"/>
      <c r="E17" s="1"/>
    </row>
    <row r="18" ht="12.75" customHeight="1">
      <c r="A18" s="2">
        <v>43160.0</v>
      </c>
      <c r="B18" s="3">
        <v>8.22362468E8</v>
      </c>
      <c r="C18" s="1"/>
      <c r="D18" s="1"/>
      <c r="E18" s="1"/>
    </row>
    <row r="19" ht="12.75" customHeight="1">
      <c r="A19" s="2">
        <v>43252.0</v>
      </c>
      <c r="B19" s="3">
        <v>8.32268808E8</v>
      </c>
      <c r="C19" s="1"/>
      <c r="D19" s="1"/>
      <c r="E19" s="1"/>
    </row>
    <row r="20" ht="12.75" customHeight="1">
      <c r="A20" s="2">
        <v>43344.0</v>
      </c>
      <c r="B20" s="3">
        <v>9.28455208E8</v>
      </c>
      <c r="C20" s="1"/>
      <c r="D20" s="1"/>
      <c r="E20" s="1"/>
    </row>
    <row r="21" ht="12.75" customHeight="1">
      <c r="A21" s="2">
        <v>43435.0</v>
      </c>
      <c r="B21" s="3">
        <v>1.008279948E9</v>
      </c>
      <c r="C21" s="1"/>
      <c r="D21" s="1"/>
      <c r="E21" s="1"/>
    </row>
    <row r="22" ht="12.75" customHeight="1">
      <c r="A22" s="2">
        <v>43525.0</v>
      </c>
      <c r="B22" s="3">
        <v>1.043914844E9</v>
      </c>
      <c r="C22" s="1"/>
      <c r="D22" s="1"/>
      <c r="E22" s="1"/>
    </row>
    <row r="23" ht="12.75" customHeight="1">
      <c r="A23" s="2">
        <v>43617.0</v>
      </c>
      <c r="B23" s="3">
        <v>1.144855978E9</v>
      </c>
      <c r="C23" s="1"/>
      <c r="D23" s="1"/>
      <c r="E23" s="1"/>
    </row>
    <row r="24" ht="12.75" customHeight="1">
      <c r="A24" s="2">
        <v>43709.0</v>
      </c>
      <c r="B24" s="3">
        <v>1.221164176E9</v>
      </c>
      <c r="C24" s="1"/>
      <c r="D24" s="1"/>
      <c r="E24" s="1"/>
    </row>
    <row r="25" ht="12.75" customHeight="1">
      <c r="A25" s="2">
        <v>43800.0</v>
      </c>
      <c r="B25" s="3">
        <v>1.278447033E9</v>
      </c>
      <c r="C25" s="1"/>
      <c r="D25" s="1"/>
      <c r="E25" s="1"/>
    </row>
    <row r="26" ht="12.75" customHeight="1">
      <c r="A26" s="2">
        <v>43891.0</v>
      </c>
      <c r="B26" s="3">
        <v>1.335926194E9</v>
      </c>
      <c r="C26" s="1"/>
      <c r="D26" s="1"/>
      <c r="E26" s="1"/>
    </row>
    <row r="27" ht="12.75" customHeight="1">
      <c r="A27" s="2">
        <v>43983.0</v>
      </c>
      <c r="B27" s="3">
        <v>7.55981865E8</v>
      </c>
      <c r="C27" s="1"/>
      <c r="D27" s="1"/>
      <c r="E27" s="1"/>
    </row>
    <row r="28" ht="12.75" customHeight="1">
      <c r="A28" s="2">
        <v>44075.0</v>
      </c>
      <c r="B28" s="3">
        <v>7.78282853E8</v>
      </c>
      <c r="C28" s="1"/>
      <c r="D28" s="1"/>
      <c r="E28" s="1"/>
    </row>
    <row r="29" ht="12.75" customHeight="1">
      <c r="A29" s="2">
        <v>44166.0</v>
      </c>
      <c r="B29" s="3">
        <v>8.19956513E8</v>
      </c>
      <c r="C29" s="1"/>
      <c r="D29" s="1"/>
      <c r="E29" s="1"/>
    </row>
    <row r="30" ht="12.75" customHeight="1">
      <c r="A30" s="2">
        <v>44256.0</v>
      </c>
      <c r="B30" s="3">
        <v>8.69540941E8</v>
      </c>
      <c r="C30" s="1"/>
      <c r="D30" s="1"/>
      <c r="E30" s="1"/>
    </row>
    <row r="31" ht="12.75" customHeight="1">
      <c r="A31" s="2">
        <v>44348.0</v>
      </c>
      <c r="B31" s="3">
        <v>9.25887499E8</v>
      </c>
      <c r="C31" s="1"/>
      <c r="D31" s="1"/>
      <c r="E31" s="1"/>
    </row>
    <row r="32" ht="12.75" customHeight="1">
      <c r="A32" s="2">
        <v>44440.0</v>
      </c>
      <c r="B32" s="3">
        <v>9.59475963E8</v>
      </c>
      <c r="C32" s="1"/>
      <c r="D32" s="1"/>
      <c r="E32" s="1"/>
    </row>
    <row r="33" ht="12.75" customHeight="1">
      <c r="A33" s="2">
        <v>44531.0</v>
      </c>
      <c r="B33" s="3">
        <v>9.98852994E8</v>
      </c>
      <c r="C33" s="1"/>
      <c r="D33" s="1"/>
      <c r="E33" s="1"/>
    </row>
    <row r="34" ht="12.75" customHeight="1">
      <c r="A34" s="2">
        <v>44621.0</v>
      </c>
      <c r="B34" s="3">
        <v>1.354157417E9</v>
      </c>
      <c r="C34" s="1"/>
      <c r="D34" s="1"/>
      <c r="E34" s="1"/>
    </row>
    <row r="35" ht="12.75" customHeight="1">
      <c r="A35" s="2">
        <v>44713.0</v>
      </c>
      <c r="B35" s="3">
        <v>1.692316684E9</v>
      </c>
      <c r="C35" s="1"/>
      <c r="D35" s="1"/>
      <c r="E35" s="1"/>
    </row>
    <row r="36" ht="12.75" customHeight="1">
      <c r="A36" s="2">
        <v>44805.0</v>
      </c>
      <c r="B36" s="3">
        <v>1.70243081E9</v>
      </c>
      <c r="C36" s="1"/>
      <c r="D36" s="1"/>
      <c r="E36" s="1"/>
    </row>
    <row r="37" ht="12.75" customHeight="1">
      <c r="A37" s="2">
        <v>44896.0</v>
      </c>
      <c r="B37" s="3">
        <v>1.731428825E9</v>
      </c>
      <c r="C37" s="1"/>
      <c r="D37" s="1"/>
      <c r="E37" s="1"/>
    </row>
    <row r="38" ht="12.75" customHeight="1">
      <c r="A38" s="2">
        <v>44986.0</v>
      </c>
      <c r="B38" s="3">
        <v>1.566181054E9</v>
      </c>
      <c r="C38" s="1"/>
      <c r="D38" s="1"/>
      <c r="E38" s="1"/>
    </row>
    <row r="39" ht="12.75" customHeight="1">
      <c r="A39" s="2">
        <v>45078.0</v>
      </c>
      <c r="B39" s="3">
        <v>1.534786904E9</v>
      </c>
      <c r="C39" s="1"/>
      <c r="D39" s="1"/>
      <c r="E39" s="1"/>
    </row>
    <row r="40" ht="12.75" customHeight="1">
      <c r="A40" s="2">
        <v>45170.0</v>
      </c>
      <c r="B40" s="3">
        <v>1.635212921E9</v>
      </c>
      <c r="C40" s="1"/>
      <c r="D40" s="1"/>
      <c r="E40" s="1"/>
    </row>
    <row r="41" ht="12.75" customHeight="1">
      <c r="A41" s="2">
        <v>45261.0</v>
      </c>
      <c r="B41" s="3">
        <v>1.734427511E9</v>
      </c>
      <c r="C41" s="1"/>
      <c r="D41" s="1"/>
      <c r="E41" s="1"/>
    </row>
    <row r="42" ht="12.75" customHeight="1">
      <c r="A42" s="2">
        <v>45352.0</v>
      </c>
      <c r="B42" s="3">
        <v>1.735118871E9</v>
      </c>
      <c r="C42" s="3">
        <v>1.735118871E9</v>
      </c>
      <c r="D42" s="3">
        <v>1.735118871E9</v>
      </c>
      <c r="E42" s="3">
        <v>1.735118871E9</v>
      </c>
    </row>
    <row r="43" ht="12.75" customHeight="1">
      <c r="A43" s="2">
        <v>45444.0</v>
      </c>
      <c r="B43" s="1"/>
      <c r="C43" s="3" t="str">
        <f t="shared" ref="C43:C63" si="1">_xlfn.FORECAST.ETS(A43,$B$2:$B$42,$A$2:$A$42,1,1)</f>
        <v>#NAME?</v>
      </c>
      <c r="D43" s="3" t="str">
        <f t="shared" ref="D43:D63" si="2">C43-_xlfn.FORECAST.ETS.CONFINT(A43,$B$2:$B$42,$A$2:$A$42,0.95,1,1)</f>
        <v>#NAME?</v>
      </c>
      <c r="E43" s="3" t="str">
        <f t="shared" ref="E43:E63" si="3">C43+_xlfn.FORECAST.ETS.CONFINT(A43,$B$2:$B$42,$A$2:$A$42,0.95,1,1)</f>
        <v>#NAME?</v>
      </c>
    </row>
    <row r="44" ht="12.75" customHeight="1">
      <c r="A44" s="2">
        <v>45536.0</v>
      </c>
      <c r="B44" s="1"/>
      <c r="C44" s="3" t="str">
        <f t="shared" si="1"/>
        <v>#NAME?</v>
      </c>
      <c r="D44" s="3" t="str">
        <f t="shared" si="2"/>
        <v>#NAME?</v>
      </c>
      <c r="E44" s="3" t="str">
        <f t="shared" si="3"/>
        <v>#NAME?</v>
      </c>
    </row>
    <row r="45" ht="12.75" customHeight="1">
      <c r="A45" s="2">
        <v>45627.0</v>
      </c>
      <c r="B45" s="1"/>
      <c r="C45" s="3" t="str">
        <f t="shared" si="1"/>
        <v>#NAME?</v>
      </c>
      <c r="D45" s="3" t="str">
        <f t="shared" si="2"/>
        <v>#NAME?</v>
      </c>
      <c r="E45" s="3" t="str">
        <f t="shared" si="3"/>
        <v>#NAME?</v>
      </c>
    </row>
    <row r="46" ht="12.75" customHeight="1">
      <c r="A46" s="2">
        <v>45717.0</v>
      </c>
      <c r="B46" s="1"/>
      <c r="C46" s="3" t="str">
        <f t="shared" si="1"/>
        <v>#NAME?</v>
      </c>
      <c r="D46" s="3" t="str">
        <f t="shared" si="2"/>
        <v>#NAME?</v>
      </c>
      <c r="E46" s="3" t="str">
        <f t="shared" si="3"/>
        <v>#NAME?</v>
      </c>
    </row>
    <row r="47" ht="12.75" customHeight="1">
      <c r="A47" s="2">
        <v>45809.0</v>
      </c>
      <c r="B47" s="1"/>
      <c r="C47" s="3" t="str">
        <f t="shared" si="1"/>
        <v>#NAME?</v>
      </c>
      <c r="D47" s="3" t="str">
        <f t="shared" si="2"/>
        <v>#NAME?</v>
      </c>
      <c r="E47" s="3" t="str">
        <f t="shared" si="3"/>
        <v>#NAME?</v>
      </c>
    </row>
    <row r="48" ht="12.75" customHeight="1">
      <c r="A48" s="2">
        <v>45901.0</v>
      </c>
      <c r="B48" s="1"/>
      <c r="C48" s="3" t="str">
        <f t="shared" si="1"/>
        <v>#NAME?</v>
      </c>
      <c r="D48" s="3" t="str">
        <f t="shared" si="2"/>
        <v>#NAME?</v>
      </c>
      <c r="E48" s="3" t="str">
        <f t="shared" si="3"/>
        <v>#NAME?</v>
      </c>
    </row>
    <row r="49" ht="12.75" customHeight="1">
      <c r="A49" s="2">
        <v>45992.0</v>
      </c>
      <c r="B49" s="1"/>
      <c r="C49" s="3" t="str">
        <f t="shared" si="1"/>
        <v>#NAME?</v>
      </c>
      <c r="D49" s="3" t="str">
        <f t="shared" si="2"/>
        <v>#NAME?</v>
      </c>
      <c r="E49" s="3" t="str">
        <f t="shared" si="3"/>
        <v>#NAME?</v>
      </c>
    </row>
    <row r="50" ht="12.75" customHeight="1">
      <c r="A50" s="2">
        <v>46082.0</v>
      </c>
      <c r="B50" s="1"/>
      <c r="C50" s="3" t="str">
        <f t="shared" si="1"/>
        <v>#NAME?</v>
      </c>
      <c r="D50" s="3" t="str">
        <f t="shared" si="2"/>
        <v>#NAME?</v>
      </c>
      <c r="E50" s="3" t="str">
        <f t="shared" si="3"/>
        <v>#NAME?</v>
      </c>
    </row>
    <row r="51" ht="12.75" customHeight="1">
      <c r="A51" s="2">
        <v>46174.0</v>
      </c>
      <c r="B51" s="1"/>
      <c r="C51" s="3" t="str">
        <f t="shared" si="1"/>
        <v>#NAME?</v>
      </c>
      <c r="D51" s="3" t="str">
        <f t="shared" si="2"/>
        <v>#NAME?</v>
      </c>
      <c r="E51" s="3" t="str">
        <f t="shared" si="3"/>
        <v>#NAME?</v>
      </c>
    </row>
    <row r="52" ht="12.75" customHeight="1">
      <c r="A52" s="2">
        <v>46266.0</v>
      </c>
      <c r="B52" s="1"/>
      <c r="C52" s="3" t="str">
        <f t="shared" si="1"/>
        <v>#NAME?</v>
      </c>
      <c r="D52" s="3" t="str">
        <f t="shared" si="2"/>
        <v>#NAME?</v>
      </c>
      <c r="E52" s="3" t="str">
        <f t="shared" si="3"/>
        <v>#NAME?</v>
      </c>
    </row>
    <row r="53" ht="12.75" customHeight="1">
      <c r="A53" s="2">
        <v>46357.0</v>
      </c>
      <c r="B53" s="1"/>
      <c r="C53" s="3" t="str">
        <f t="shared" si="1"/>
        <v>#NAME?</v>
      </c>
      <c r="D53" s="3" t="str">
        <f t="shared" si="2"/>
        <v>#NAME?</v>
      </c>
      <c r="E53" s="3" t="str">
        <f t="shared" si="3"/>
        <v>#NAME?</v>
      </c>
    </row>
    <row r="54" ht="12.75" customHeight="1">
      <c r="A54" s="2">
        <v>46447.0</v>
      </c>
      <c r="B54" s="1"/>
      <c r="C54" s="3" t="str">
        <f t="shared" si="1"/>
        <v>#NAME?</v>
      </c>
      <c r="D54" s="3" t="str">
        <f t="shared" si="2"/>
        <v>#NAME?</v>
      </c>
      <c r="E54" s="3" t="str">
        <f t="shared" si="3"/>
        <v>#NAME?</v>
      </c>
    </row>
    <row r="55" ht="12.75" customHeight="1">
      <c r="A55" s="2">
        <v>46539.0</v>
      </c>
      <c r="B55" s="1"/>
      <c r="C55" s="3" t="str">
        <f t="shared" si="1"/>
        <v>#NAME?</v>
      </c>
      <c r="D55" s="3" t="str">
        <f t="shared" si="2"/>
        <v>#NAME?</v>
      </c>
      <c r="E55" s="3" t="str">
        <f t="shared" si="3"/>
        <v>#NAME?</v>
      </c>
    </row>
    <row r="56" ht="12.75" customHeight="1">
      <c r="A56" s="2">
        <v>46631.0</v>
      </c>
      <c r="B56" s="1"/>
      <c r="C56" s="3" t="str">
        <f t="shared" si="1"/>
        <v>#NAME?</v>
      </c>
      <c r="D56" s="3" t="str">
        <f t="shared" si="2"/>
        <v>#NAME?</v>
      </c>
      <c r="E56" s="3" t="str">
        <f t="shared" si="3"/>
        <v>#NAME?</v>
      </c>
    </row>
    <row r="57" ht="12.75" customHeight="1">
      <c r="A57" s="2">
        <v>46722.0</v>
      </c>
      <c r="B57" s="1"/>
      <c r="C57" s="3" t="str">
        <f t="shared" si="1"/>
        <v>#NAME?</v>
      </c>
      <c r="D57" s="3" t="str">
        <f t="shared" si="2"/>
        <v>#NAME?</v>
      </c>
      <c r="E57" s="3" t="str">
        <f t="shared" si="3"/>
        <v>#NAME?</v>
      </c>
    </row>
    <row r="58" ht="12.75" customHeight="1">
      <c r="A58" s="2">
        <v>46813.0</v>
      </c>
      <c r="B58" s="1"/>
      <c r="C58" s="3" t="str">
        <f t="shared" si="1"/>
        <v>#NAME?</v>
      </c>
      <c r="D58" s="3" t="str">
        <f t="shared" si="2"/>
        <v>#NAME?</v>
      </c>
      <c r="E58" s="3" t="str">
        <f t="shared" si="3"/>
        <v>#NAME?</v>
      </c>
    </row>
    <row r="59" ht="12.75" customHeight="1">
      <c r="A59" s="2">
        <v>46905.0</v>
      </c>
      <c r="B59" s="1"/>
      <c r="C59" s="3" t="str">
        <f t="shared" si="1"/>
        <v>#NAME?</v>
      </c>
      <c r="D59" s="3" t="str">
        <f t="shared" si="2"/>
        <v>#NAME?</v>
      </c>
      <c r="E59" s="3" t="str">
        <f t="shared" si="3"/>
        <v>#NAME?</v>
      </c>
    </row>
    <row r="60" ht="12.75" customHeight="1">
      <c r="A60" s="2">
        <v>46997.0</v>
      </c>
      <c r="B60" s="1"/>
      <c r="C60" s="3" t="str">
        <f t="shared" si="1"/>
        <v>#NAME?</v>
      </c>
      <c r="D60" s="3" t="str">
        <f t="shared" si="2"/>
        <v>#NAME?</v>
      </c>
      <c r="E60" s="3" t="str">
        <f t="shared" si="3"/>
        <v>#NAME?</v>
      </c>
    </row>
    <row r="61" ht="12.75" customHeight="1">
      <c r="A61" s="2">
        <v>47088.0</v>
      </c>
      <c r="B61" s="1"/>
      <c r="C61" s="3" t="str">
        <f t="shared" si="1"/>
        <v>#NAME?</v>
      </c>
      <c r="D61" s="3" t="str">
        <f t="shared" si="2"/>
        <v>#NAME?</v>
      </c>
      <c r="E61" s="3" t="str">
        <f t="shared" si="3"/>
        <v>#NAME?</v>
      </c>
    </row>
    <row r="62" ht="12.75" customHeight="1">
      <c r="A62" s="2">
        <v>47178.0</v>
      </c>
      <c r="B62" s="1"/>
      <c r="C62" s="3" t="str">
        <f t="shared" si="1"/>
        <v>#NAME?</v>
      </c>
      <c r="D62" s="3" t="str">
        <f t="shared" si="2"/>
        <v>#NAME?</v>
      </c>
      <c r="E62" s="3" t="str">
        <f t="shared" si="3"/>
        <v>#NAME?</v>
      </c>
    </row>
    <row r="63" ht="12.75" customHeight="1">
      <c r="A63" s="2">
        <v>47208.0</v>
      </c>
      <c r="B63" s="1"/>
      <c r="C63" s="3" t="str">
        <f t="shared" si="1"/>
        <v>#NAME?</v>
      </c>
      <c r="D63" s="3" t="str">
        <f t="shared" si="2"/>
        <v>#NAME?</v>
      </c>
      <c r="E63" s="3" t="str">
        <f t="shared" si="3"/>
        <v>#NAME?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25"/>
    <col customWidth="1" min="3" max="3" width="22.25"/>
    <col customWidth="1" min="4" max="5" width="36.75"/>
    <col customWidth="1" min="6" max="26" width="8.63"/>
  </cols>
  <sheetData>
    <row r="1" ht="12.75" customHeight="1">
      <c r="A1" s="1" t="s">
        <v>0</v>
      </c>
      <c r="B1" s="1" t="s">
        <v>19</v>
      </c>
      <c r="C1" s="1" t="s">
        <v>20</v>
      </c>
      <c r="D1" s="1" t="s">
        <v>21</v>
      </c>
      <c r="E1" s="1" t="s">
        <v>11</v>
      </c>
    </row>
    <row r="2" ht="12.75" customHeight="1">
      <c r="A2" s="2">
        <v>41699.0</v>
      </c>
      <c r="B2" s="3">
        <v>4.479989E7</v>
      </c>
      <c r="C2" s="1"/>
      <c r="D2" s="1"/>
      <c r="E2" s="1"/>
    </row>
    <row r="3" ht="12.75" customHeight="1">
      <c r="A3" s="2">
        <v>41791.0</v>
      </c>
      <c r="B3" s="3">
        <v>4.5846713E7</v>
      </c>
      <c r="C3" s="1"/>
      <c r="D3" s="1"/>
      <c r="E3" s="1"/>
    </row>
    <row r="4" ht="12.75" customHeight="1">
      <c r="A4" s="2">
        <v>41883.0</v>
      </c>
      <c r="B4" s="3">
        <v>5.0164858E7</v>
      </c>
      <c r="C4" s="1"/>
      <c r="D4" s="1"/>
      <c r="E4" s="1"/>
    </row>
    <row r="5" ht="12.75" customHeight="1">
      <c r="A5" s="2">
        <v>41974.0</v>
      </c>
      <c r="B5" s="3">
        <v>4.7325392E7</v>
      </c>
      <c r="C5" s="1"/>
      <c r="D5" s="1"/>
      <c r="E5" s="1"/>
    </row>
    <row r="6" ht="12.75" customHeight="1">
      <c r="A6" s="2">
        <v>42064.0</v>
      </c>
      <c r="B6" s="3">
        <v>5.7173268E7</v>
      </c>
      <c r="C6" s="1"/>
      <c r="D6" s="1"/>
      <c r="E6" s="1"/>
    </row>
    <row r="7" ht="12.75" customHeight="1">
      <c r="A7" s="2">
        <v>42156.0</v>
      </c>
      <c r="B7" s="3">
        <v>5.9071159E7</v>
      </c>
      <c r="C7" s="1"/>
      <c r="D7" s="1"/>
      <c r="E7" s="1"/>
    </row>
    <row r="8" ht="12.75" customHeight="1">
      <c r="A8" s="2">
        <v>42248.0</v>
      </c>
      <c r="B8" s="3">
        <v>6.1827915E7</v>
      </c>
      <c r="C8" s="1"/>
      <c r="D8" s="1"/>
      <c r="E8" s="1"/>
    </row>
    <row r="9" ht="12.75" customHeight="1">
      <c r="A9" s="2">
        <v>42339.0</v>
      </c>
      <c r="B9" s="3">
        <v>6.2389666E7</v>
      </c>
      <c r="C9" s="1"/>
      <c r="D9" s="1"/>
      <c r="E9" s="1"/>
    </row>
    <row r="10" ht="12.75" customHeight="1">
      <c r="A10" s="2">
        <v>42430.0</v>
      </c>
      <c r="B10" s="3">
        <v>6.616587E7</v>
      </c>
      <c r="C10" s="1"/>
      <c r="D10" s="1"/>
      <c r="E10" s="1"/>
    </row>
    <row r="11" ht="12.75" customHeight="1">
      <c r="A11" s="2">
        <v>42522.0</v>
      </c>
      <c r="B11" s="3">
        <v>6.8703261E7</v>
      </c>
      <c r="C11" s="1"/>
      <c r="D11" s="1"/>
      <c r="E11" s="1"/>
    </row>
    <row r="12" ht="12.75" customHeight="1">
      <c r="A12" s="2">
        <v>42614.0</v>
      </c>
      <c r="B12" s="3">
        <v>7.0063651E7</v>
      </c>
      <c r="C12" s="1"/>
      <c r="D12" s="1"/>
      <c r="E12" s="1"/>
    </row>
    <row r="13" ht="12.75" customHeight="1">
      <c r="A13" s="2">
        <v>42705.0</v>
      </c>
      <c r="B13" s="3">
        <v>7.258086E7</v>
      </c>
      <c r="C13" s="1"/>
      <c r="D13" s="1"/>
      <c r="E13" s="1"/>
    </row>
    <row r="14" ht="12.75" customHeight="1">
      <c r="A14" s="2">
        <v>42795.0</v>
      </c>
      <c r="B14" s="3">
        <v>1.02615838E8</v>
      </c>
      <c r="C14" s="1"/>
      <c r="D14" s="1"/>
      <c r="E14" s="1"/>
    </row>
    <row r="15" ht="12.75" customHeight="1">
      <c r="A15" s="2">
        <v>42887.0</v>
      </c>
      <c r="B15" s="3">
        <v>1.07135261E8</v>
      </c>
      <c r="C15" s="1"/>
      <c r="D15" s="1"/>
      <c r="E15" s="1"/>
    </row>
    <row r="16" ht="12.75" customHeight="1">
      <c r="A16" s="2">
        <v>42979.0</v>
      </c>
      <c r="B16" s="3">
        <v>1.10071358E8</v>
      </c>
      <c r="C16" s="1"/>
      <c r="D16" s="1"/>
      <c r="E16" s="1"/>
    </row>
    <row r="17" ht="12.75" customHeight="1">
      <c r="A17" s="2">
        <v>43070.0</v>
      </c>
      <c r="B17" s="3">
        <v>1.15908553E8</v>
      </c>
      <c r="C17" s="1"/>
      <c r="D17" s="1"/>
      <c r="E17" s="1"/>
    </row>
    <row r="18" ht="12.75" customHeight="1">
      <c r="A18" s="2">
        <v>43160.0</v>
      </c>
      <c r="B18" s="3">
        <v>1.18292191E8</v>
      </c>
      <c r="C18" s="1"/>
      <c r="D18" s="1"/>
      <c r="E18" s="1"/>
    </row>
    <row r="19" ht="12.75" customHeight="1">
      <c r="A19" s="2">
        <v>43252.0</v>
      </c>
      <c r="B19" s="3">
        <v>1.23334566E8</v>
      </c>
      <c r="C19" s="1"/>
      <c r="D19" s="1"/>
      <c r="E19" s="1"/>
    </row>
    <row r="20" ht="12.75" customHeight="1">
      <c r="A20" s="2">
        <v>43344.0</v>
      </c>
      <c r="B20" s="3">
        <v>1.29969853E8</v>
      </c>
      <c r="C20" s="1"/>
      <c r="D20" s="1"/>
      <c r="E20" s="1"/>
    </row>
    <row r="21" ht="12.75" customHeight="1">
      <c r="A21" s="2">
        <v>43435.0</v>
      </c>
      <c r="B21" s="3">
        <v>1.38588925E8</v>
      </c>
      <c r="C21" s="1"/>
      <c r="D21" s="1"/>
      <c r="E21" s="1"/>
    </row>
    <row r="22" ht="12.75" customHeight="1">
      <c r="A22" s="2">
        <v>43525.0</v>
      </c>
      <c r="B22" s="3">
        <v>1.51934252E8</v>
      </c>
      <c r="C22" s="1"/>
      <c r="D22" s="1"/>
      <c r="E22" s="1"/>
    </row>
    <row r="23" ht="12.75" customHeight="1">
      <c r="A23" s="2">
        <v>43617.0</v>
      </c>
      <c r="B23" s="3">
        <v>1.89771276E8</v>
      </c>
      <c r="C23" s="1"/>
      <c r="D23" s="1"/>
      <c r="E23" s="1"/>
    </row>
    <row r="24" ht="12.75" customHeight="1">
      <c r="A24" s="2">
        <v>43709.0</v>
      </c>
      <c r="B24" s="3">
        <v>1.97685399E8</v>
      </c>
      <c r="C24" s="1"/>
      <c r="D24" s="1"/>
      <c r="E24" s="1"/>
    </row>
    <row r="25" ht="12.75" customHeight="1">
      <c r="A25" s="2">
        <v>43800.0</v>
      </c>
      <c r="B25" s="3">
        <v>2.07386218E8</v>
      </c>
      <c r="C25" s="1"/>
      <c r="D25" s="1"/>
      <c r="E25" s="1"/>
    </row>
    <row r="26" ht="12.75" customHeight="1">
      <c r="A26" s="2">
        <v>43891.0</v>
      </c>
      <c r="B26" s="3">
        <v>2.12573242E8</v>
      </c>
      <c r="C26" s="1"/>
      <c r="D26" s="1"/>
      <c r="E26" s="1"/>
    </row>
    <row r="27" ht="12.75" customHeight="1">
      <c r="A27" s="2">
        <v>43983.0</v>
      </c>
      <c r="B27" s="3">
        <v>1.83222765E8</v>
      </c>
      <c r="C27" s="1"/>
      <c r="D27" s="1"/>
      <c r="E27" s="1"/>
    </row>
    <row r="28" ht="12.75" customHeight="1">
      <c r="A28" s="2">
        <v>44075.0</v>
      </c>
      <c r="B28" s="3">
        <v>2.13101333E8</v>
      </c>
      <c r="C28" s="1"/>
      <c r="D28" s="1"/>
      <c r="E28" s="1"/>
    </row>
    <row r="29" ht="12.75" customHeight="1">
      <c r="A29" s="2">
        <v>44166.0</v>
      </c>
      <c r="B29" s="3">
        <v>2.25041606E8</v>
      </c>
      <c r="C29" s="1"/>
      <c r="D29" s="1"/>
      <c r="E29" s="1"/>
    </row>
    <row r="30" ht="12.75" customHeight="1">
      <c r="A30" s="2">
        <v>44256.0</v>
      </c>
      <c r="B30" s="3">
        <v>2.32789301E8</v>
      </c>
      <c r="C30" s="1"/>
      <c r="D30" s="1"/>
      <c r="E30" s="1"/>
    </row>
    <row r="31" ht="12.75" customHeight="1">
      <c r="A31" s="2">
        <v>44348.0</v>
      </c>
      <c r="B31" s="3">
        <v>2.39928202E8</v>
      </c>
      <c r="C31" s="1"/>
      <c r="D31" s="1"/>
      <c r="E31" s="1"/>
    </row>
    <row r="32" ht="12.75" customHeight="1">
      <c r="A32" s="2">
        <v>44440.0</v>
      </c>
      <c r="B32" s="3">
        <v>2.4772271E8</v>
      </c>
      <c r="C32" s="1"/>
      <c r="D32" s="1"/>
      <c r="E32" s="1"/>
    </row>
    <row r="33" ht="12.75" customHeight="1">
      <c r="A33" s="2">
        <v>44531.0</v>
      </c>
      <c r="B33" s="3">
        <v>2.46880498E8</v>
      </c>
      <c r="C33" s="1"/>
      <c r="D33" s="1"/>
      <c r="E33" s="1"/>
    </row>
    <row r="34" ht="12.75" customHeight="1">
      <c r="A34" s="2">
        <v>44621.0</v>
      </c>
      <c r="B34" s="3">
        <v>4.02756635E8</v>
      </c>
      <c r="C34" s="1"/>
      <c r="D34" s="1"/>
      <c r="E34" s="1"/>
    </row>
    <row r="35" ht="12.75" customHeight="1">
      <c r="A35" s="2">
        <v>44713.0</v>
      </c>
      <c r="B35" s="3">
        <v>4.75220688E8</v>
      </c>
      <c r="C35" s="1"/>
      <c r="D35" s="1"/>
      <c r="E35" s="1"/>
    </row>
    <row r="36" ht="12.75" customHeight="1">
      <c r="A36" s="2">
        <v>44805.0</v>
      </c>
      <c r="B36" s="3">
        <v>4.71006896E8</v>
      </c>
      <c r="C36" s="1"/>
      <c r="D36" s="1"/>
      <c r="E36" s="1"/>
    </row>
    <row r="37" ht="12.75" customHeight="1">
      <c r="A37" s="2">
        <v>44896.0</v>
      </c>
      <c r="B37" s="3">
        <v>4.77719865E8</v>
      </c>
      <c r="C37" s="1"/>
      <c r="D37" s="1"/>
      <c r="E37" s="1"/>
    </row>
    <row r="38" ht="12.75" customHeight="1">
      <c r="A38" s="2">
        <v>44986.0</v>
      </c>
      <c r="B38" s="3">
        <v>4.34019414E8</v>
      </c>
      <c r="C38" s="1"/>
      <c r="D38" s="1"/>
      <c r="E38" s="1"/>
    </row>
    <row r="39" ht="12.75" customHeight="1">
      <c r="A39" s="2">
        <v>45078.0</v>
      </c>
      <c r="B39" s="3">
        <v>4.21839828E8</v>
      </c>
      <c r="C39" s="1"/>
      <c r="D39" s="1"/>
      <c r="E39" s="1"/>
    </row>
    <row r="40" ht="12.75" customHeight="1">
      <c r="A40" s="2">
        <v>45170.0</v>
      </c>
      <c r="B40" s="3">
        <v>4.37389469E8</v>
      </c>
      <c r="C40" s="1"/>
      <c r="D40" s="1"/>
      <c r="E40" s="1"/>
    </row>
    <row r="41" ht="12.75" customHeight="1">
      <c r="A41" s="2">
        <v>45261.0</v>
      </c>
      <c r="B41" s="3">
        <v>4.89771604E8</v>
      </c>
      <c r="C41" s="1"/>
      <c r="D41" s="1"/>
      <c r="E41" s="1"/>
    </row>
    <row r="42" ht="12.75" customHeight="1">
      <c r="A42" s="2">
        <v>45352.0</v>
      </c>
      <c r="B42" s="3">
        <v>4.88692887E8</v>
      </c>
      <c r="C42" s="3">
        <v>4.88692887E8</v>
      </c>
      <c r="D42" s="3">
        <v>4.88692887E8</v>
      </c>
      <c r="E42" s="3">
        <v>4.88692887E8</v>
      </c>
    </row>
    <row r="43" ht="12.75" customHeight="1">
      <c r="A43" s="2">
        <v>45444.0</v>
      </c>
      <c r="B43" s="1"/>
      <c r="C43" s="3" t="str">
        <f t="shared" ref="C43:C63" si="1">_xlfn.FORECAST.ETS(A43,$B$2:$B$42,$A$2:$A$42,1,1)</f>
        <v>#NAME?</v>
      </c>
      <c r="D43" s="3" t="str">
        <f t="shared" ref="D43:D63" si="2">C43-_xlfn.FORECAST.ETS.CONFINT(A43,$B$2:$B$42,$A$2:$A$42,0.95,1,1)</f>
        <v>#NAME?</v>
      </c>
      <c r="E43" s="3" t="str">
        <f t="shared" ref="E43:E63" si="3">C43+_xlfn.FORECAST.ETS.CONFINT(A43,$B$2:$B$42,$A$2:$A$42,0.95,1,1)</f>
        <v>#NAME?</v>
      </c>
    </row>
    <row r="44" ht="12.75" customHeight="1">
      <c r="A44" s="2">
        <v>45536.0</v>
      </c>
      <c r="B44" s="1"/>
      <c r="C44" s="3" t="str">
        <f t="shared" si="1"/>
        <v>#NAME?</v>
      </c>
      <c r="D44" s="3" t="str">
        <f t="shared" si="2"/>
        <v>#NAME?</v>
      </c>
      <c r="E44" s="3" t="str">
        <f t="shared" si="3"/>
        <v>#NAME?</v>
      </c>
    </row>
    <row r="45" ht="12.75" customHeight="1">
      <c r="A45" s="2">
        <v>45627.0</v>
      </c>
      <c r="B45" s="1"/>
      <c r="C45" s="3" t="str">
        <f t="shared" si="1"/>
        <v>#NAME?</v>
      </c>
      <c r="D45" s="3" t="str">
        <f t="shared" si="2"/>
        <v>#NAME?</v>
      </c>
      <c r="E45" s="3" t="str">
        <f t="shared" si="3"/>
        <v>#NAME?</v>
      </c>
    </row>
    <row r="46" ht="12.75" customHeight="1">
      <c r="A46" s="2">
        <v>45717.0</v>
      </c>
      <c r="B46" s="1"/>
      <c r="C46" s="3" t="str">
        <f t="shared" si="1"/>
        <v>#NAME?</v>
      </c>
      <c r="D46" s="3" t="str">
        <f t="shared" si="2"/>
        <v>#NAME?</v>
      </c>
      <c r="E46" s="3" t="str">
        <f t="shared" si="3"/>
        <v>#NAME?</v>
      </c>
    </row>
    <row r="47" ht="12.75" customHeight="1">
      <c r="A47" s="2">
        <v>45809.0</v>
      </c>
      <c r="B47" s="1"/>
      <c r="C47" s="3" t="str">
        <f t="shared" si="1"/>
        <v>#NAME?</v>
      </c>
      <c r="D47" s="3" t="str">
        <f t="shared" si="2"/>
        <v>#NAME?</v>
      </c>
      <c r="E47" s="3" t="str">
        <f t="shared" si="3"/>
        <v>#NAME?</v>
      </c>
    </row>
    <row r="48" ht="12.75" customHeight="1">
      <c r="A48" s="2">
        <v>45901.0</v>
      </c>
      <c r="B48" s="1"/>
      <c r="C48" s="3" t="str">
        <f t="shared" si="1"/>
        <v>#NAME?</v>
      </c>
      <c r="D48" s="3" t="str">
        <f t="shared" si="2"/>
        <v>#NAME?</v>
      </c>
      <c r="E48" s="3" t="str">
        <f t="shared" si="3"/>
        <v>#NAME?</v>
      </c>
    </row>
    <row r="49" ht="12.75" customHeight="1">
      <c r="A49" s="2">
        <v>45992.0</v>
      </c>
      <c r="B49" s="1"/>
      <c r="C49" s="3" t="str">
        <f t="shared" si="1"/>
        <v>#NAME?</v>
      </c>
      <c r="D49" s="3" t="str">
        <f t="shared" si="2"/>
        <v>#NAME?</v>
      </c>
      <c r="E49" s="3" t="str">
        <f t="shared" si="3"/>
        <v>#NAME?</v>
      </c>
    </row>
    <row r="50" ht="12.75" customHeight="1">
      <c r="A50" s="2">
        <v>46082.0</v>
      </c>
      <c r="B50" s="1"/>
      <c r="C50" s="3" t="str">
        <f t="shared" si="1"/>
        <v>#NAME?</v>
      </c>
      <c r="D50" s="3" t="str">
        <f t="shared" si="2"/>
        <v>#NAME?</v>
      </c>
      <c r="E50" s="3" t="str">
        <f t="shared" si="3"/>
        <v>#NAME?</v>
      </c>
    </row>
    <row r="51" ht="12.75" customHeight="1">
      <c r="A51" s="2">
        <v>46174.0</v>
      </c>
      <c r="B51" s="1"/>
      <c r="C51" s="3" t="str">
        <f t="shared" si="1"/>
        <v>#NAME?</v>
      </c>
      <c r="D51" s="3" t="str">
        <f t="shared" si="2"/>
        <v>#NAME?</v>
      </c>
      <c r="E51" s="3" t="str">
        <f t="shared" si="3"/>
        <v>#NAME?</v>
      </c>
    </row>
    <row r="52" ht="12.75" customHeight="1">
      <c r="A52" s="2">
        <v>46266.0</v>
      </c>
      <c r="B52" s="1"/>
      <c r="C52" s="3" t="str">
        <f t="shared" si="1"/>
        <v>#NAME?</v>
      </c>
      <c r="D52" s="3" t="str">
        <f t="shared" si="2"/>
        <v>#NAME?</v>
      </c>
      <c r="E52" s="3" t="str">
        <f t="shared" si="3"/>
        <v>#NAME?</v>
      </c>
    </row>
    <row r="53" ht="12.75" customHeight="1">
      <c r="A53" s="2">
        <v>46357.0</v>
      </c>
      <c r="B53" s="1"/>
      <c r="C53" s="3" t="str">
        <f t="shared" si="1"/>
        <v>#NAME?</v>
      </c>
      <c r="D53" s="3" t="str">
        <f t="shared" si="2"/>
        <v>#NAME?</v>
      </c>
      <c r="E53" s="3" t="str">
        <f t="shared" si="3"/>
        <v>#NAME?</v>
      </c>
    </row>
    <row r="54" ht="12.75" customHeight="1">
      <c r="A54" s="2">
        <v>46447.0</v>
      </c>
      <c r="B54" s="1"/>
      <c r="C54" s="3" t="str">
        <f t="shared" si="1"/>
        <v>#NAME?</v>
      </c>
      <c r="D54" s="3" t="str">
        <f t="shared" si="2"/>
        <v>#NAME?</v>
      </c>
      <c r="E54" s="3" t="str">
        <f t="shared" si="3"/>
        <v>#NAME?</v>
      </c>
    </row>
    <row r="55" ht="12.75" customHeight="1">
      <c r="A55" s="2">
        <v>46539.0</v>
      </c>
      <c r="B55" s="1"/>
      <c r="C55" s="3" t="str">
        <f t="shared" si="1"/>
        <v>#NAME?</v>
      </c>
      <c r="D55" s="3" t="str">
        <f t="shared" si="2"/>
        <v>#NAME?</v>
      </c>
      <c r="E55" s="3" t="str">
        <f t="shared" si="3"/>
        <v>#NAME?</v>
      </c>
    </row>
    <row r="56" ht="12.75" customHeight="1">
      <c r="A56" s="2">
        <v>46631.0</v>
      </c>
      <c r="B56" s="1"/>
      <c r="C56" s="3" t="str">
        <f t="shared" si="1"/>
        <v>#NAME?</v>
      </c>
      <c r="D56" s="3" t="str">
        <f t="shared" si="2"/>
        <v>#NAME?</v>
      </c>
      <c r="E56" s="3" t="str">
        <f t="shared" si="3"/>
        <v>#NAME?</v>
      </c>
    </row>
    <row r="57" ht="12.75" customHeight="1">
      <c r="A57" s="2">
        <v>46722.0</v>
      </c>
      <c r="B57" s="1"/>
      <c r="C57" s="3" t="str">
        <f t="shared" si="1"/>
        <v>#NAME?</v>
      </c>
      <c r="D57" s="3" t="str">
        <f t="shared" si="2"/>
        <v>#NAME?</v>
      </c>
      <c r="E57" s="3" t="str">
        <f t="shared" si="3"/>
        <v>#NAME?</v>
      </c>
    </row>
    <row r="58" ht="12.75" customHeight="1">
      <c r="A58" s="2">
        <v>46813.0</v>
      </c>
      <c r="B58" s="1"/>
      <c r="C58" s="3" t="str">
        <f t="shared" si="1"/>
        <v>#NAME?</v>
      </c>
      <c r="D58" s="3" t="str">
        <f t="shared" si="2"/>
        <v>#NAME?</v>
      </c>
      <c r="E58" s="3" t="str">
        <f t="shared" si="3"/>
        <v>#NAME?</v>
      </c>
    </row>
    <row r="59" ht="12.75" customHeight="1">
      <c r="A59" s="2">
        <v>46905.0</v>
      </c>
      <c r="B59" s="1"/>
      <c r="C59" s="3" t="str">
        <f t="shared" si="1"/>
        <v>#NAME?</v>
      </c>
      <c r="D59" s="3" t="str">
        <f t="shared" si="2"/>
        <v>#NAME?</v>
      </c>
      <c r="E59" s="3" t="str">
        <f t="shared" si="3"/>
        <v>#NAME?</v>
      </c>
    </row>
    <row r="60" ht="12.75" customHeight="1">
      <c r="A60" s="2">
        <v>46997.0</v>
      </c>
      <c r="B60" s="1"/>
      <c r="C60" s="3" t="str">
        <f t="shared" si="1"/>
        <v>#NAME?</v>
      </c>
      <c r="D60" s="3" t="str">
        <f t="shared" si="2"/>
        <v>#NAME?</v>
      </c>
      <c r="E60" s="3" t="str">
        <f t="shared" si="3"/>
        <v>#NAME?</v>
      </c>
    </row>
    <row r="61" ht="12.75" customHeight="1">
      <c r="A61" s="2">
        <v>47088.0</v>
      </c>
      <c r="B61" s="1"/>
      <c r="C61" s="3" t="str">
        <f t="shared" si="1"/>
        <v>#NAME?</v>
      </c>
      <c r="D61" s="3" t="str">
        <f t="shared" si="2"/>
        <v>#NAME?</v>
      </c>
      <c r="E61" s="3" t="str">
        <f t="shared" si="3"/>
        <v>#NAME?</v>
      </c>
    </row>
    <row r="62" ht="12.75" customHeight="1">
      <c r="A62" s="2">
        <v>47178.0</v>
      </c>
      <c r="B62" s="1"/>
      <c r="C62" s="3" t="str">
        <f t="shared" si="1"/>
        <v>#NAME?</v>
      </c>
      <c r="D62" s="3" t="str">
        <f t="shared" si="2"/>
        <v>#NAME?</v>
      </c>
      <c r="E62" s="3" t="str">
        <f t="shared" si="3"/>
        <v>#NAME?</v>
      </c>
    </row>
    <row r="63" ht="12.75" customHeight="1">
      <c r="A63" s="2">
        <v>47208.0</v>
      </c>
      <c r="B63" s="1"/>
      <c r="C63" s="3" t="str">
        <f t="shared" si="1"/>
        <v>#NAME?</v>
      </c>
      <c r="D63" s="3" t="str">
        <f t="shared" si="2"/>
        <v>#NAME?</v>
      </c>
      <c r="E63" s="3" t="str">
        <f t="shared" si="3"/>
        <v>#NAME?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3.25"/>
    <col customWidth="1" min="3" max="3" width="32.25"/>
    <col customWidth="1" min="4" max="5" width="46.75"/>
    <col customWidth="1" min="6" max="26" width="8.63"/>
  </cols>
  <sheetData>
    <row r="1" ht="12.75" customHeight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ht="12.75" customHeight="1">
      <c r="A2" s="2">
        <v>41699.0</v>
      </c>
      <c r="B2" s="1">
        <v>0.012078268465874295</v>
      </c>
      <c r="C2" s="1"/>
      <c r="D2" s="1"/>
      <c r="E2" s="1"/>
    </row>
    <row r="3" ht="12.75" customHeight="1">
      <c r="A3" s="2">
        <v>41791.0</v>
      </c>
      <c r="B3" s="1">
        <v>0.012802624448329455</v>
      </c>
      <c r="C3" s="1"/>
      <c r="D3" s="1"/>
      <c r="E3" s="1"/>
    </row>
    <row r="4" ht="12.75" customHeight="1">
      <c r="A4" s="2">
        <v>41883.0</v>
      </c>
      <c r="B4" s="1">
        <v>0.012417849949430291</v>
      </c>
      <c r="C4" s="1"/>
      <c r="D4" s="1"/>
      <c r="E4" s="1"/>
    </row>
    <row r="5" ht="12.75" customHeight="1">
      <c r="A5" s="2">
        <v>41974.0</v>
      </c>
      <c r="B5" s="1">
        <v>0.013664742493187571</v>
      </c>
      <c r="C5" s="1"/>
      <c r="D5" s="1"/>
      <c r="E5" s="1"/>
    </row>
    <row r="6" ht="12.75" customHeight="1">
      <c r="A6" s="2">
        <v>42064.0</v>
      </c>
      <c r="B6" s="1">
        <v>0.012375566026426773</v>
      </c>
      <c r="C6" s="1"/>
      <c r="D6" s="1"/>
      <c r="E6" s="1"/>
    </row>
    <row r="7" ht="12.75" customHeight="1">
      <c r="A7" s="2">
        <v>42156.0</v>
      </c>
      <c r="B7" s="1">
        <v>0.01529168462448181</v>
      </c>
      <c r="C7" s="1"/>
      <c r="D7" s="1"/>
      <c r="E7" s="1"/>
    </row>
    <row r="8" ht="12.75" customHeight="1">
      <c r="A8" s="2">
        <v>42248.0</v>
      </c>
      <c r="B8" s="1">
        <v>0.017744333529113743</v>
      </c>
      <c r="C8" s="1"/>
      <c r="D8" s="1"/>
      <c r="E8" s="1"/>
    </row>
    <row r="9" ht="12.75" customHeight="1">
      <c r="A9" s="2">
        <v>42339.0</v>
      </c>
      <c r="B9" s="1">
        <v>0.01686076480974132</v>
      </c>
      <c r="C9" s="1"/>
      <c r="D9" s="1"/>
      <c r="E9" s="1"/>
    </row>
    <row r="10" ht="12.75" customHeight="1">
      <c r="A10" s="2">
        <v>42430.0</v>
      </c>
      <c r="B10" s="1">
        <v>0.014928724047700057</v>
      </c>
      <c r="C10" s="1"/>
      <c r="D10" s="1"/>
      <c r="E10" s="1"/>
    </row>
    <row r="11" ht="12.75" customHeight="1">
      <c r="A11" s="2">
        <v>42522.0</v>
      </c>
      <c r="B11" s="1">
        <v>0.01281974837940252</v>
      </c>
      <c r="C11" s="1"/>
      <c r="D11" s="1"/>
      <c r="E11" s="1"/>
    </row>
    <row r="12" ht="12.75" customHeight="1">
      <c r="A12" s="2">
        <v>42614.0</v>
      </c>
      <c r="B12" s="1">
        <v>0.015009203816601932</v>
      </c>
      <c r="C12" s="1"/>
      <c r="D12" s="1"/>
      <c r="E12" s="1"/>
    </row>
    <row r="13" ht="12.75" customHeight="1">
      <c r="A13" s="2">
        <v>42705.0</v>
      </c>
      <c r="B13" s="1">
        <v>0.01466835897450223</v>
      </c>
      <c r="C13" s="1"/>
      <c r="D13" s="1"/>
      <c r="E13" s="1"/>
    </row>
    <row r="14" ht="12.75" customHeight="1">
      <c r="A14" s="2">
        <v>42795.0</v>
      </c>
      <c r="B14" s="1">
        <v>0.010450109891902629</v>
      </c>
      <c r="C14" s="1"/>
      <c r="D14" s="1"/>
      <c r="E14" s="1"/>
    </row>
    <row r="15" ht="12.75" customHeight="1">
      <c r="A15" s="2">
        <v>42887.0</v>
      </c>
      <c r="B15" s="1">
        <v>0.0070155228858820515</v>
      </c>
      <c r="C15" s="1"/>
      <c r="D15" s="1"/>
      <c r="E15" s="1"/>
    </row>
    <row r="16" ht="12.75" customHeight="1">
      <c r="A16" s="2">
        <v>42979.0</v>
      </c>
      <c r="B16" s="1">
        <v>0.007753598145194221</v>
      </c>
      <c r="C16" s="1"/>
      <c r="D16" s="1"/>
      <c r="E16" s="1"/>
    </row>
    <row r="17" ht="12.75" customHeight="1">
      <c r="A17" s="2">
        <v>43070.0</v>
      </c>
      <c r="B17" s="1">
        <v>0.00806561480398868</v>
      </c>
      <c r="C17" s="1"/>
      <c r="D17" s="1"/>
      <c r="E17" s="1"/>
    </row>
    <row r="18" ht="12.75" customHeight="1">
      <c r="A18" s="2">
        <v>43160.0</v>
      </c>
      <c r="B18" s="1">
        <v>0.007043812461538554</v>
      </c>
      <c r="C18" s="1"/>
      <c r="D18" s="1"/>
      <c r="E18" s="1"/>
    </row>
    <row r="19" ht="12.75" customHeight="1">
      <c r="A19" s="2">
        <v>43252.0</v>
      </c>
      <c r="B19" s="1">
        <v>0.005981261044688821</v>
      </c>
      <c r="C19" s="1"/>
      <c r="D19" s="1"/>
      <c r="E19" s="1"/>
    </row>
    <row r="20" ht="12.75" customHeight="1">
      <c r="A20" s="2">
        <v>43344.0</v>
      </c>
      <c r="B20" s="1">
        <v>0.006175517085364876</v>
      </c>
      <c r="C20" s="1"/>
      <c r="D20" s="1"/>
      <c r="E20" s="1"/>
    </row>
    <row r="21" ht="12.75" customHeight="1">
      <c r="A21" s="2">
        <v>43435.0</v>
      </c>
      <c r="B21" s="1">
        <v>0.006358481107074441</v>
      </c>
      <c r="C21" s="1"/>
      <c r="D21" s="1"/>
      <c r="E21" s="1"/>
    </row>
    <row r="22" ht="12.75" customHeight="1">
      <c r="A22" s="2">
        <v>43525.0</v>
      </c>
      <c r="B22" s="1">
        <v>0.007407320668389691</v>
      </c>
      <c r="C22" s="1"/>
      <c r="D22" s="1"/>
      <c r="E22" s="1"/>
    </row>
    <row r="23" ht="12.75" customHeight="1">
      <c r="A23" s="2">
        <v>43617.0</v>
      </c>
      <c r="B23" s="1">
        <v>0.004460244867586305</v>
      </c>
      <c r="C23" s="1"/>
      <c r="D23" s="1"/>
      <c r="E23" s="1"/>
    </row>
    <row r="24" ht="12.75" customHeight="1">
      <c r="A24" s="2">
        <v>43709.0</v>
      </c>
      <c r="B24" s="1">
        <v>0.005281581401385623</v>
      </c>
      <c r="C24" s="1"/>
      <c r="D24" s="1"/>
      <c r="E24" s="1"/>
    </row>
    <row r="25" ht="12.75" customHeight="1">
      <c r="A25" s="2">
        <v>43800.0</v>
      </c>
      <c r="B25" s="1">
        <v>0.005127309016954792</v>
      </c>
      <c r="C25" s="1"/>
      <c r="D25" s="1"/>
      <c r="E25" s="1"/>
    </row>
    <row r="26" ht="12.75" customHeight="1">
      <c r="A26" s="2">
        <v>43891.0</v>
      </c>
      <c r="B26" s="1">
        <v>0.00523635589407419</v>
      </c>
      <c r="C26" s="1"/>
      <c r="D26" s="1"/>
      <c r="E26" s="1"/>
    </row>
    <row r="27" ht="12.75" customHeight="1">
      <c r="A27" s="2">
        <v>43983.0</v>
      </c>
      <c r="B27" s="1">
        <v>0.006794397111629126</v>
      </c>
      <c r="C27" s="1"/>
      <c r="D27" s="1"/>
      <c r="E27" s="1"/>
    </row>
    <row r="28" ht="12.75" customHeight="1">
      <c r="A28" s="2">
        <v>44075.0</v>
      </c>
      <c r="B28" s="1">
        <v>0.011810969449689264</v>
      </c>
      <c r="C28" s="1"/>
      <c r="D28" s="1"/>
      <c r="E28" s="1"/>
    </row>
    <row r="29" ht="12.75" customHeight="1">
      <c r="A29" s="2">
        <v>44166.0</v>
      </c>
      <c r="B29" s="1">
        <v>0.009339217237243897</v>
      </c>
      <c r="C29" s="1"/>
      <c r="D29" s="1"/>
      <c r="E29" s="1"/>
    </row>
    <row r="30" ht="12.75" customHeight="1">
      <c r="A30" s="2">
        <v>44256.0</v>
      </c>
      <c r="B30" s="1">
        <v>0.013353895662056008</v>
      </c>
      <c r="C30" s="1"/>
      <c r="D30" s="1"/>
      <c r="E30" s="1"/>
    </row>
    <row r="31" ht="12.75" customHeight="1">
      <c r="A31" s="2">
        <v>44348.0</v>
      </c>
      <c r="B31" s="1">
        <v>0.011262969865413423</v>
      </c>
      <c r="C31" s="1"/>
      <c r="D31" s="1"/>
      <c r="E31" s="1"/>
    </row>
    <row r="32" ht="12.75" customHeight="1">
      <c r="A32" s="2">
        <v>44440.0</v>
      </c>
      <c r="B32" s="1">
        <v>0.013050807402040149</v>
      </c>
      <c r="C32" s="1"/>
      <c r="D32" s="1"/>
      <c r="E32" s="1"/>
    </row>
    <row r="33" ht="12.75" customHeight="1">
      <c r="A33" s="2">
        <v>44531.0</v>
      </c>
      <c r="B33" s="1">
        <v>0.013657410131365136</v>
      </c>
      <c r="C33" s="1"/>
      <c r="D33" s="1"/>
      <c r="E33" s="1"/>
    </row>
    <row r="34" ht="12.75" customHeight="1">
      <c r="A34" s="2">
        <v>44621.0</v>
      </c>
      <c r="B34" s="1">
        <v>0.013802780803289725</v>
      </c>
      <c r="C34" s="1"/>
      <c r="D34" s="1"/>
      <c r="E34" s="1"/>
    </row>
    <row r="35" ht="12.75" customHeight="1">
      <c r="A35" s="2">
        <v>44713.0</v>
      </c>
      <c r="B35" s="1">
        <v>0.012217586220995976</v>
      </c>
      <c r="C35" s="1"/>
      <c r="D35" s="1"/>
      <c r="E35" s="1"/>
    </row>
    <row r="36" ht="12.75" customHeight="1">
      <c r="A36" s="2">
        <v>44805.0</v>
      </c>
      <c r="B36" s="1">
        <v>0.01090628405626658</v>
      </c>
      <c r="C36" s="1"/>
      <c r="D36" s="1"/>
      <c r="E36" s="1"/>
    </row>
    <row r="37" ht="12.75" customHeight="1">
      <c r="A37" s="2">
        <v>44896.0</v>
      </c>
      <c r="B37" s="1">
        <v>0.01310985567079259</v>
      </c>
      <c r="C37" s="1"/>
      <c r="D37" s="1"/>
      <c r="E37" s="1"/>
    </row>
    <row r="38" ht="12.75" customHeight="1">
      <c r="A38" s="2">
        <v>44986.0</v>
      </c>
      <c r="B38" s="1">
        <v>0.013242765864795093</v>
      </c>
      <c r="C38" s="1"/>
      <c r="D38" s="1"/>
      <c r="E38" s="1"/>
    </row>
    <row r="39" ht="12.75" customHeight="1">
      <c r="A39" s="2">
        <v>45078.0</v>
      </c>
      <c r="B39" s="1">
        <v>0.01499472659039577</v>
      </c>
      <c r="C39" s="1"/>
      <c r="D39" s="1"/>
      <c r="E39" s="1"/>
    </row>
    <row r="40" ht="12.75" customHeight="1">
      <c r="A40" s="2">
        <v>45170.0</v>
      </c>
      <c r="B40" s="1">
        <v>0.011103048273919553</v>
      </c>
      <c r="C40" s="1"/>
      <c r="D40" s="1"/>
      <c r="E40" s="1"/>
    </row>
    <row r="41" ht="12.75" customHeight="1">
      <c r="A41" s="2">
        <v>45261.0</v>
      </c>
      <c r="B41" s="1">
        <v>0.011103583100395137</v>
      </c>
      <c r="C41" s="1"/>
      <c r="D41" s="1"/>
      <c r="E41" s="1"/>
    </row>
    <row r="42" ht="12.75" customHeight="1">
      <c r="A42" s="2">
        <v>45352.0</v>
      </c>
      <c r="B42" s="1">
        <v>0.014701674004212937</v>
      </c>
      <c r="C42" s="1">
        <v>0.014701674004212937</v>
      </c>
      <c r="D42" s="4">
        <v>0.014701674004212937</v>
      </c>
      <c r="E42" s="4">
        <v>0.014701674004212937</v>
      </c>
    </row>
    <row r="43" ht="12.75" customHeight="1">
      <c r="A43" s="2">
        <v>45444.0</v>
      </c>
      <c r="B43" s="1"/>
      <c r="C43" s="1" t="str">
        <f t="shared" ref="C43:C63" si="1">_xlfn.FORECAST.ETS(A43,$B$2:$B$42,$A$2:$A$42,1,1)</f>
        <v>#NAME?</v>
      </c>
      <c r="D43" s="4" t="str">
        <f t="shared" ref="D43:D63" si="2">C43-_xlfn.FORECAST.ETS.CONFINT(A43,$B$2:$B$42,$A$2:$A$42,0.95,1,1)</f>
        <v>#NAME?</v>
      </c>
      <c r="E43" s="4" t="str">
        <f t="shared" ref="E43:E63" si="3">C43+_xlfn.FORECAST.ETS.CONFINT(A43,$B$2:$B$42,$A$2:$A$42,0.95,1,1)</f>
        <v>#NAME?</v>
      </c>
    </row>
    <row r="44" ht="12.75" customHeight="1">
      <c r="A44" s="2">
        <v>45536.0</v>
      </c>
      <c r="B44" s="1"/>
      <c r="C44" s="1" t="str">
        <f t="shared" si="1"/>
        <v>#NAME?</v>
      </c>
      <c r="D44" s="4" t="str">
        <f t="shared" si="2"/>
        <v>#NAME?</v>
      </c>
      <c r="E44" s="4" t="str">
        <f t="shared" si="3"/>
        <v>#NAME?</v>
      </c>
    </row>
    <row r="45" ht="12.75" customHeight="1">
      <c r="A45" s="2">
        <v>45627.0</v>
      </c>
      <c r="B45" s="1"/>
      <c r="C45" s="1" t="str">
        <f t="shared" si="1"/>
        <v>#NAME?</v>
      </c>
      <c r="D45" s="4" t="str">
        <f t="shared" si="2"/>
        <v>#NAME?</v>
      </c>
      <c r="E45" s="4" t="str">
        <f t="shared" si="3"/>
        <v>#NAME?</v>
      </c>
    </row>
    <row r="46" ht="12.75" customHeight="1">
      <c r="A46" s="2">
        <v>45717.0</v>
      </c>
      <c r="B46" s="1"/>
      <c r="C46" s="1" t="str">
        <f t="shared" si="1"/>
        <v>#NAME?</v>
      </c>
      <c r="D46" s="4" t="str">
        <f t="shared" si="2"/>
        <v>#NAME?</v>
      </c>
      <c r="E46" s="4" t="str">
        <f t="shared" si="3"/>
        <v>#NAME?</v>
      </c>
    </row>
    <row r="47" ht="12.75" customHeight="1">
      <c r="A47" s="2">
        <v>45809.0</v>
      </c>
      <c r="B47" s="1"/>
      <c r="C47" s="1" t="str">
        <f t="shared" si="1"/>
        <v>#NAME?</v>
      </c>
      <c r="D47" s="4" t="str">
        <f t="shared" si="2"/>
        <v>#NAME?</v>
      </c>
      <c r="E47" s="4" t="str">
        <f t="shared" si="3"/>
        <v>#NAME?</v>
      </c>
    </row>
    <row r="48" ht="12.75" customHeight="1">
      <c r="A48" s="2">
        <v>45901.0</v>
      </c>
      <c r="B48" s="1"/>
      <c r="C48" s="1" t="str">
        <f t="shared" si="1"/>
        <v>#NAME?</v>
      </c>
      <c r="D48" s="4" t="str">
        <f t="shared" si="2"/>
        <v>#NAME?</v>
      </c>
      <c r="E48" s="4" t="str">
        <f t="shared" si="3"/>
        <v>#NAME?</v>
      </c>
    </row>
    <row r="49" ht="12.75" customHeight="1">
      <c r="A49" s="2">
        <v>45992.0</v>
      </c>
      <c r="B49" s="1"/>
      <c r="C49" s="1" t="str">
        <f t="shared" si="1"/>
        <v>#NAME?</v>
      </c>
      <c r="D49" s="4" t="str">
        <f t="shared" si="2"/>
        <v>#NAME?</v>
      </c>
      <c r="E49" s="4" t="str">
        <f t="shared" si="3"/>
        <v>#NAME?</v>
      </c>
    </row>
    <row r="50" ht="12.75" customHeight="1">
      <c r="A50" s="2">
        <v>46082.0</v>
      </c>
      <c r="B50" s="1"/>
      <c r="C50" s="1" t="str">
        <f t="shared" si="1"/>
        <v>#NAME?</v>
      </c>
      <c r="D50" s="4" t="str">
        <f t="shared" si="2"/>
        <v>#NAME?</v>
      </c>
      <c r="E50" s="4" t="str">
        <f t="shared" si="3"/>
        <v>#NAME?</v>
      </c>
    </row>
    <row r="51" ht="12.75" customHeight="1">
      <c r="A51" s="2">
        <v>46174.0</v>
      </c>
      <c r="B51" s="1"/>
      <c r="C51" s="1" t="str">
        <f t="shared" si="1"/>
        <v>#NAME?</v>
      </c>
      <c r="D51" s="4" t="str">
        <f t="shared" si="2"/>
        <v>#NAME?</v>
      </c>
      <c r="E51" s="4" t="str">
        <f t="shared" si="3"/>
        <v>#NAME?</v>
      </c>
    </row>
    <row r="52" ht="12.75" customHeight="1">
      <c r="A52" s="2">
        <v>46266.0</v>
      </c>
      <c r="B52" s="1"/>
      <c r="C52" s="1" t="str">
        <f t="shared" si="1"/>
        <v>#NAME?</v>
      </c>
      <c r="D52" s="4" t="str">
        <f t="shared" si="2"/>
        <v>#NAME?</v>
      </c>
      <c r="E52" s="4" t="str">
        <f t="shared" si="3"/>
        <v>#NAME?</v>
      </c>
    </row>
    <row r="53" ht="12.75" customHeight="1">
      <c r="A53" s="2">
        <v>46357.0</v>
      </c>
      <c r="B53" s="1"/>
      <c r="C53" s="1" t="str">
        <f t="shared" si="1"/>
        <v>#NAME?</v>
      </c>
      <c r="D53" s="4" t="str">
        <f t="shared" si="2"/>
        <v>#NAME?</v>
      </c>
      <c r="E53" s="4" t="str">
        <f t="shared" si="3"/>
        <v>#NAME?</v>
      </c>
    </row>
    <row r="54" ht="12.75" customHeight="1">
      <c r="A54" s="2">
        <v>46447.0</v>
      </c>
      <c r="B54" s="1"/>
      <c r="C54" s="1" t="str">
        <f t="shared" si="1"/>
        <v>#NAME?</v>
      </c>
      <c r="D54" s="4" t="str">
        <f t="shared" si="2"/>
        <v>#NAME?</v>
      </c>
      <c r="E54" s="4" t="str">
        <f t="shared" si="3"/>
        <v>#NAME?</v>
      </c>
    </row>
    <row r="55" ht="12.75" customHeight="1">
      <c r="A55" s="2">
        <v>46539.0</v>
      </c>
      <c r="B55" s="1"/>
      <c r="C55" s="1" t="str">
        <f t="shared" si="1"/>
        <v>#NAME?</v>
      </c>
      <c r="D55" s="4" t="str">
        <f t="shared" si="2"/>
        <v>#NAME?</v>
      </c>
      <c r="E55" s="4" t="str">
        <f t="shared" si="3"/>
        <v>#NAME?</v>
      </c>
    </row>
    <row r="56" ht="12.75" customHeight="1">
      <c r="A56" s="2">
        <v>46631.0</v>
      </c>
      <c r="B56" s="1"/>
      <c r="C56" s="1" t="str">
        <f t="shared" si="1"/>
        <v>#NAME?</v>
      </c>
      <c r="D56" s="4" t="str">
        <f t="shared" si="2"/>
        <v>#NAME?</v>
      </c>
      <c r="E56" s="4" t="str">
        <f t="shared" si="3"/>
        <v>#NAME?</v>
      </c>
    </row>
    <row r="57" ht="12.75" customHeight="1">
      <c r="A57" s="2">
        <v>46722.0</v>
      </c>
      <c r="B57" s="1"/>
      <c r="C57" s="1" t="str">
        <f t="shared" si="1"/>
        <v>#NAME?</v>
      </c>
      <c r="D57" s="4" t="str">
        <f t="shared" si="2"/>
        <v>#NAME?</v>
      </c>
      <c r="E57" s="4" t="str">
        <f t="shared" si="3"/>
        <v>#NAME?</v>
      </c>
    </row>
    <row r="58" ht="12.75" customHeight="1">
      <c r="A58" s="2">
        <v>46813.0</v>
      </c>
      <c r="B58" s="1"/>
      <c r="C58" s="1" t="str">
        <f t="shared" si="1"/>
        <v>#NAME?</v>
      </c>
      <c r="D58" s="4" t="str">
        <f t="shared" si="2"/>
        <v>#NAME?</v>
      </c>
      <c r="E58" s="4" t="str">
        <f t="shared" si="3"/>
        <v>#NAME?</v>
      </c>
    </row>
    <row r="59" ht="12.75" customHeight="1">
      <c r="A59" s="2">
        <v>46905.0</v>
      </c>
      <c r="B59" s="1"/>
      <c r="C59" s="1" t="str">
        <f t="shared" si="1"/>
        <v>#NAME?</v>
      </c>
      <c r="D59" s="4" t="str">
        <f t="shared" si="2"/>
        <v>#NAME?</v>
      </c>
      <c r="E59" s="4" t="str">
        <f t="shared" si="3"/>
        <v>#NAME?</v>
      </c>
    </row>
    <row r="60" ht="12.75" customHeight="1">
      <c r="A60" s="2">
        <v>46997.0</v>
      </c>
      <c r="B60" s="1"/>
      <c r="C60" s="1" t="str">
        <f t="shared" si="1"/>
        <v>#NAME?</v>
      </c>
      <c r="D60" s="4" t="str">
        <f t="shared" si="2"/>
        <v>#NAME?</v>
      </c>
      <c r="E60" s="4" t="str">
        <f t="shared" si="3"/>
        <v>#NAME?</v>
      </c>
    </row>
    <row r="61" ht="12.75" customHeight="1">
      <c r="A61" s="2">
        <v>47088.0</v>
      </c>
      <c r="B61" s="1"/>
      <c r="C61" s="1" t="str">
        <f t="shared" si="1"/>
        <v>#NAME?</v>
      </c>
      <c r="D61" s="4" t="str">
        <f t="shared" si="2"/>
        <v>#NAME?</v>
      </c>
      <c r="E61" s="4" t="str">
        <f t="shared" si="3"/>
        <v>#NAME?</v>
      </c>
    </row>
    <row r="62" ht="12.75" customHeight="1">
      <c r="A62" s="2">
        <v>47178.0</v>
      </c>
      <c r="B62" s="1"/>
      <c r="C62" s="1" t="str">
        <f t="shared" si="1"/>
        <v>#NAME?</v>
      </c>
      <c r="D62" s="4" t="str">
        <f t="shared" si="2"/>
        <v>#NAME?</v>
      </c>
      <c r="E62" s="4" t="str">
        <f t="shared" si="3"/>
        <v>#NAME?</v>
      </c>
    </row>
    <row r="63" ht="12.75" customHeight="1">
      <c r="A63" s="2">
        <v>47208.0</v>
      </c>
      <c r="B63" s="1"/>
      <c r="C63" s="1" t="str">
        <f t="shared" si="1"/>
        <v>#NAME?</v>
      </c>
      <c r="D63" s="4" t="str">
        <f t="shared" si="2"/>
        <v>#NAME?</v>
      </c>
      <c r="E63" s="4" t="str">
        <f t="shared" si="3"/>
        <v>#NAME?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24.63"/>
    <col customWidth="1" min="4" max="4" width="18.38"/>
    <col customWidth="1" min="5" max="5" width="17.38"/>
    <col customWidth="1" min="6" max="6" width="17.63"/>
    <col customWidth="1" min="8" max="8" width="13.75"/>
    <col customWidth="1" min="9" max="9" width="16.38"/>
    <col customWidth="1" min="10" max="10" width="19.38"/>
    <col customWidth="1" min="11" max="11" width="17.13"/>
  </cols>
  <sheetData>
    <row r="1" ht="34.5" customHeight="1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ht="15.75" customHeight="1">
      <c r="A2" s="9" t="s">
        <v>0</v>
      </c>
      <c r="B2" s="10" t="s">
        <v>16</v>
      </c>
      <c r="C2" s="10" t="s">
        <v>8</v>
      </c>
      <c r="D2" s="10" t="s">
        <v>19</v>
      </c>
      <c r="E2" s="10" t="s">
        <v>5</v>
      </c>
      <c r="F2" s="10" t="s">
        <v>12</v>
      </c>
      <c r="G2" s="10" t="s">
        <v>1</v>
      </c>
      <c r="H2" s="11" t="s">
        <v>27</v>
      </c>
      <c r="I2" s="12" t="s">
        <v>28</v>
      </c>
      <c r="J2" s="13" t="s">
        <v>29</v>
      </c>
      <c r="K2" s="14" t="s">
        <v>30</v>
      </c>
      <c r="L2" s="12" t="s">
        <v>22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ht="15.75" customHeight="1">
      <c r="A3" s="16">
        <v>41699.0</v>
      </c>
      <c r="B3" s="17">
        <v>1.75460498E8</v>
      </c>
      <c r="C3" s="17">
        <v>1.30660608E8</v>
      </c>
      <c r="D3" s="17">
        <v>4.479989E7</v>
      </c>
      <c r="E3" s="17">
        <v>1137035.0</v>
      </c>
      <c r="F3" s="17">
        <v>1204699.0</v>
      </c>
      <c r="G3" s="17">
        <v>2119259.0</v>
      </c>
      <c r="H3" s="18">
        <f t="shared" ref="H3:I3" si="1">B3/C3</f>
        <v>1.342872199</v>
      </c>
      <c r="I3" s="18">
        <f t="shared" si="1"/>
        <v>2.91653859</v>
      </c>
      <c r="J3" s="19">
        <f t="shared" ref="J3:J43" si="3">F3/G3</f>
        <v>0.5684529357</v>
      </c>
      <c r="K3" s="20">
        <f t="shared" ref="K3:K43" si="4">E3/G3</f>
        <v>0.5365247948</v>
      </c>
      <c r="L3" s="18">
        <f t="shared" ref="L3:L43" si="5">G3/B3</f>
        <v>0.01207826847</v>
      </c>
    </row>
    <row r="4" ht="15.75" customHeight="1">
      <c r="A4" s="21">
        <v>41791.0</v>
      </c>
      <c r="B4" s="17">
        <v>1.77180703E8</v>
      </c>
      <c r="C4" s="17">
        <v>1.3133399E8</v>
      </c>
      <c r="D4" s="17">
        <v>4.5846713E7</v>
      </c>
      <c r="E4" s="17">
        <v>1012474.0</v>
      </c>
      <c r="F4" s="17">
        <v>621214.0</v>
      </c>
      <c r="G4" s="17">
        <v>2268378.0</v>
      </c>
      <c r="H4" s="18">
        <f t="shared" ref="H4:I4" si="2">B4/C4</f>
        <v>1.349084902</v>
      </c>
      <c r="I4" s="18">
        <f t="shared" si="2"/>
        <v>2.864632629</v>
      </c>
      <c r="J4" s="19">
        <f t="shared" si="3"/>
        <v>0.273858237</v>
      </c>
      <c r="K4" s="20">
        <f t="shared" si="4"/>
        <v>0.4463427171</v>
      </c>
      <c r="L4" s="18">
        <f t="shared" si="5"/>
        <v>0.01280262445</v>
      </c>
    </row>
    <row r="5" ht="15.75" customHeight="1">
      <c r="A5" s="16">
        <v>41883.0</v>
      </c>
      <c r="B5" s="17">
        <v>2.04314999E8</v>
      </c>
      <c r="C5" s="17">
        <v>1.54150141E8</v>
      </c>
      <c r="D5" s="17">
        <v>5.0164858E7</v>
      </c>
      <c r="E5" s="17">
        <v>1793064.0</v>
      </c>
      <c r="F5" s="17">
        <v>793836.0</v>
      </c>
      <c r="G5" s="17">
        <v>2537153.0</v>
      </c>
      <c r="H5" s="18">
        <f t="shared" ref="H5:I5" si="6">B5/C5</f>
        <v>1.325428557</v>
      </c>
      <c r="I5" s="18">
        <f t="shared" si="6"/>
        <v>3.072871072</v>
      </c>
      <c r="J5" s="19">
        <f t="shared" si="3"/>
        <v>0.31288456</v>
      </c>
      <c r="K5" s="20">
        <f t="shared" si="4"/>
        <v>0.7067228504</v>
      </c>
      <c r="L5" s="18">
        <f t="shared" si="5"/>
        <v>0.01241784995</v>
      </c>
    </row>
    <row r="6" ht="15.75" customHeight="1">
      <c r="A6" s="16">
        <v>41974.0</v>
      </c>
      <c r="B6" s="17">
        <v>2.14286292E8</v>
      </c>
      <c r="C6" s="17">
        <v>1.669609E8</v>
      </c>
      <c r="D6" s="17">
        <v>4.7325392E7</v>
      </c>
      <c r="E6" s="17">
        <v>1531584.0</v>
      </c>
      <c r="F6" s="17">
        <v>923870.0</v>
      </c>
      <c r="G6" s="17">
        <v>2928167.0</v>
      </c>
      <c r="H6" s="18">
        <f t="shared" ref="H6:I6" si="7">B6/C6</f>
        <v>1.283451946</v>
      </c>
      <c r="I6" s="18">
        <f t="shared" si="7"/>
        <v>3.527934856</v>
      </c>
      <c r="J6" s="19">
        <f t="shared" si="3"/>
        <v>0.3155113762</v>
      </c>
      <c r="K6" s="20">
        <f t="shared" si="4"/>
        <v>0.5230521347</v>
      </c>
      <c r="L6" s="18">
        <f t="shared" si="5"/>
        <v>0.01366474249</v>
      </c>
    </row>
    <row r="7" ht="15.75" customHeight="1">
      <c r="A7" s="16">
        <v>42064.0</v>
      </c>
      <c r="B7" s="17">
        <v>2.45970406E8</v>
      </c>
      <c r="C7" s="17">
        <v>1.88797138E8</v>
      </c>
      <c r="D7" s="17">
        <v>5.7173268E7</v>
      </c>
      <c r="E7" s="17">
        <v>1942587.0</v>
      </c>
      <c r="F7" s="17">
        <v>1226011.0</v>
      </c>
      <c r="G7" s="17">
        <v>3044023.0</v>
      </c>
      <c r="H7" s="18">
        <f t="shared" ref="H7:I7" si="8">B7/C7</f>
        <v>1.302829103</v>
      </c>
      <c r="I7" s="18">
        <f t="shared" si="8"/>
        <v>3.302192521</v>
      </c>
      <c r="J7" s="19">
        <f t="shared" si="3"/>
        <v>0.4027600974</v>
      </c>
      <c r="K7" s="20">
        <f t="shared" si="4"/>
        <v>0.6381643634</v>
      </c>
      <c r="L7" s="18">
        <f t="shared" si="5"/>
        <v>0.01237556603</v>
      </c>
    </row>
    <row r="8" ht="15.75" customHeight="1">
      <c r="A8" s="21">
        <v>42156.0</v>
      </c>
      <c r="B8" s="17">
        <v>2.65826696E8</v>
      </c>
      <c r="C8" s="17">
        <v>2.06755537E8</v>
      </c>
      <c r="D8" s="17">
        <v>5.9071159E7</v>
      </c>
      <c r="E8" s="17">
        <v>2063903.0</v>
      </c>
      <c r="F8" s="17">
        <v>1449960.0</v>
      </c>
      <c r="G8" s="17">
        <v>4064938.0</v>
      </c>
      <c r="H8" s="18">
        <f t="shared" ref="H8:I8" si="9">B8/C8</f>
        <v>1.28570533</v>
      </c>
      <c r="I8" s="18">
        <f t="shared" si="9"/>
        <v>3.500109707</v>
      </c>
      <c r="J8" s="19">
        <f t="shared" si="3"/>
        <v>0.3566991674</v>
      </c>
      <c r="K8" s="20">
        <f t="shared" si="4"/>
        <v>0.5077329593</v>
      </c>
      <c r="L8" s="18">
        <f t="shared" si="5"/>
        <v>0.01529168462</v>
      </c>
    </row>
    <row r="9" ht="15.75" customHeight="1">
      <c r="A9" s="16">
        <v>42248.0</v>
      </c>
      <c r="B9" s="17">
        <v>2.92433074E8</v>
      </c>
      <c r="C9" s="17">
        <v>2.30605159E8</v>
      </c>
      <c r="D9" s="17">
        <v>6.1827915E7</v>
      </c>
      <c r="E9" s="17">
        <v>2396338.0</v>
      </c>
      <c r="F9" s="17">
        <v>1603769.0</v>
      </c>
      <c r="G9" s="17">
        <v>5189030.0</v>
      </c>
      <c r="H9" s="18">
        <f t="shared" ref="H9:I9" si="10">B9/C9</f>
        <v>1.268111586</v>
      </c>
      <c r="I9" s="18">
        <f t="shared" si="10"/>
        <v>3.729790322</v>
      </c>
      <c r="J9" s="19">
        <f t="shared" si="3"/>
        <v>0.3090691324</v>
      </c>
      <c r="K9" s="20">
        <f t="shared" si="4"/>
        <v>0.461808469</v>
      </c>
      <c r="L9" s="18">
        <f t="shared" si="5"/>
        <v>0.01774433353</v>
      </c>
    </row>
    <row r="10" ht="15.75" customHeight="1">
      <c r="A10" s="16">
        <v>42339.0</v>
      </c>
      <c r="B10" s="17">
        <v>3.17413478E8</v>
      </c>
      <c r="C10" s="17">
        <v>2.55023812E8</v>
      </c>
      <c r="D10" s="17">
        <v>6.2389666E7</v>
      </c>
      <c r="E10" s="17">
        <v>2674837.0</v>
      </c>
      <c r="F10" s="17">
        <v>1688881.0</v>
      </c>
      <c r="G10" s="17">
        <v>5351834.0</v>
      </c>
      <c r="H10" s="18">
        <f t="shared" ref="H10:I10" si="11">B10/C10</f>
        <v>1.244642512</v>
      </c>
      <c r="I10" s="18">
        <f t="shared" si="11"/>
        <v>4.087597007</v>
      </c>
      <c r="J10" s="19">
        <f t="shared" si="3"/>
        <v>0.3155705128</v>
      </c>
      <c r="K10" s="20">
        <f t="shared" si="4"/>
        <v>0.4997982</v>
      </c>
      <c r="L10" s="18">
        <f t="shared" si="5"/>
        <v>0.01686076481</v>
      </c>
    </row>
    <row r="11" ht="15.75" customHeight="1">
      <c r="A11" s="16">
        <v>42430.0</v>
      </c>
      <c r="B11" s="17">
        <v>3.79384198E8</v>
      </c>
      <c r="C11" s="17">
        <v>3.13218328E8</v>
      </c>
      <c r="D11" s="17">
        <v>6.616587E7</v>
      </c>
      <c r="E11" s="17">
        <v>2196309.0</v>
      </c>
      <c r="F11" s="17">
        <v>2824063.0</v>
      </c>
      <c r="G11" s="17">
        <v>5663722.0</v>
      </c>
      <c r="H11" s="18">
        <f t="shared" ref="H11:I11" si="12">B11/C11</f>
        <v>1.211245205</v>
      </c>
      <c r="I11" s="18">
        <f t="shared" si="12"/>
        <v>4.733835254</v>
      </c>
      <c r="J11" s="19">
        <f t="shared" si="3"/>
        <v>0.4986231669</v>
      </c>
      <c r="K11" s="20">
        <f t="shared" si="4"/>
        <v>0.3877854527</v>
      </c>
      <c r="L11" s="18">
        <f t="shared" si="5"/>
        <v>0.01492872405</v>
      </c>
    </row>
    <row r="12" ht="15.75" customHeight="1">
      <c r="A12" s="21">
        <v>42522.0</v>
      </c>
      <c r="B12" s="17">
        <v>3.94590272E8</v>
      </c>
      <c r="C12" s="17">
        <v>3.25887011E8</v>
      </c>
      <c r="D12" s="17">
        <v>6.8703261E7</v>
      </c>
      <c r="E12" s="17">
        <v>2405065.0</v>
      </c>
      <c r="F12" s="17">
        <v>1909734.0</v>
      </c>
      <c r="G12" s="17">
        <v>5058548.0</v>
      </c>
      <c r="H12" s="18">
        <f t="shared" ref="H12:I12" si="13">B12/C12</f>
        <v>1.210819268</v>
      </c>
      <c r="I12" s="18">
        <f t="shared" si="13"/>
        <v>4.743399458</v>
      </c>
      <c r="J12" s="19">
        <f t="shared" si="3"/>
        <v>0.3775261201</v>
      </c>
      <c r="K12" s="20">
        <f t="shared" si="4"/>
        <v>0.4754457208</v>
      </c>
      <c r="L12" s="18">
        <f t="shared" si="5"/>
        <v>0.01281974838</v>
      </c>
    </row>
    <row r="13" ht="15.75" customHeight="1">
      <c r="A13" s="16">
        <v>42614.0</v>
      </c>
      <c r="B13" s="17">
        <v>4.12723891E8</v>
      </c>
      <c r="C13" s="17">
        <v>3.4266024E8</v>
      </c>
      <c r="D13" s="17">
        <v>7.0063651E7</v>
      </c>
      <c r="E13" s="17">
        <v>2580607.0</v>
      </c>
      <c r="F13" s="17">
        <v>2471955.0</v>
      </c>
      <c r="G13" s="17">
        <v>6194657.0</v>
      </c>
      <c r="H13" s="18">
        <f t="shared" ref="H13:I13" si="14">B13/C13</f>
        <v>1.204469742</v>
      </c>
      <c r="I13" s="18">
        <f t="shared" si="14"/>
        <v>4.890699173</v>
      </c>
      <c r="J13" s="19">
        <f t="shared" si="3"/>
        <v>0.3990463072</v>
      </c>
      <c r="K13" s="20">
        <f t="shared" si="4"/>
        <v>0.4165859385</v>
      </c>
      <c r="L13" s="18">
        <f t="shared" si="5"/>
        <v>0.01500920382</v>
      </c>
    </row>
    <row r="14" ht="15.75" customHeight="1">
      <c r="A14" s="16">
        <v>42705.0</v>
      </c>
      <c r="B14" s="17">
        <v>4.28854994E8</v>
      </c>
      <c r="C14" s="17">
        <v>3.56274134E8</v>
      </c>
      <c r="D14" s="17">
        <v>7.258086E7</v>
      </c>
      <c r="E14" s="17">
        <v>2967371.0</v>
      </c>
      <c r="F14" s="17">
        <v>2444222.0</v>
      </c>
      <c r="G14" s="17">
        <v>6290599.0</v>
      </c>
      <c r="H14" s="18">
        <f t="shared" ref="H14:I14" si="15">B14/C14</f>
        <v>1.203721946</v>
      </c>
      <c r="I14" s="18">
        <f t="shared" si="15"/>
        <v>4.908651317</v>
      </c>
      <c r="J14" s="19">
        <f t="shared" si="3"/>
        <v>0.3885515513</v>
      </c>
      <c r="K14" s="20">
        <f t="shared" si="4"/>
        <v>0.4717151737</v>
      </c>
      <c r="L14" s="18">
        <f t="shared" si="5"/>
        <v>0.01466835897</v>
      </c>
    </row>
    <row r="15" ht="15.75" customHeight="1">
      <c r="A15" s="16">
        <v>42795.0</v>
      </c>
      <c r="B15" s="17">
        <v>6.40924839E8</v>
      </c>
      <c r="C15" s="17">
        <v>5.38309001E8</v>
      </c>
      <c r="D15" s="17">
        <v>1.02615838E8</v>
      </c>
      <c r="E15" s="17">
        <v>1.3033979E7</v>
      </c>
      <c r="F15" s="17">
        <v>2995745.0</v>
      </c>
      <c r="G15" s="17">
        <v>6697735.0</v>
      </c>
      <c r="H15" s="18">
        <f t="shared" ref="H15:I15" si="16">B15/C15</f>
        <v>1.190626272</v>
      </c>
      <c r="I15" s="18">
        <f t="shared" si="16"/>
        <v>5.245866637</v>
      </c>
      <c r="J15" s="19">
        <f t="shared" si="3"/>
        <v>0.4472773258</v>
      </c>
      <c r="K15" s="20">
        <f t="shared" si="4"/>
        <v>1.946027874</v>
      </c>
      <c r="L15" s="18">
        <f t="shared" si="5"/>
        <v>0.01045010989</v>
      </c>
    </row>
    <row r="16" ht="15.75" customHeight="1">
      <c r="A16" s="16">
        <v>42887.0</v>
      </c>
      <c r="B16" s="17">
        <v>6.90280408E8</v>
      </c>
      <c r="C16" s="17">
        <v>5.83145147E8</v>
      </c>
      <c r="D16" s="17">
        <v>1.07135261E8</v>
      </c>
      <c r="E16" s="17">
        <v>5078654.0</v>
      </c>
      <c r="F16" s="17">
        <v>1888333.0</v>
      </c>
      <c r="G16" s="17">
        <v>4842678.0</v>
      </c>
      <c r="H16" s="18">
        <f t="shared" ref="H16:I16" si="17">B16/C16</f>
        <v>1.183719716</v>
      </c>
      <c r="I16" s="18">
        <f t="shared" si="17"/>
        <v>5.443073938</v>
      </c>
      <c r="J16" s="19">
        <f t="shared" si="3"/>
        <v>0.3899356926</v>
      </c>
      <c r="K16" s="20">
        <f t="shared" si="4"/>
        <v>1.04872841</v>
      </c>
      <c r="L16" s="18">
        <f t="shared" si="5"/>
        <v>0.007015522886</v>
      </c>
    </row>
    <row r="17" ht="15.75" customHeight="1">
      <c r="A17" s="16">
        <v>42979.0</v>
      </c>
      <c r="B17" s="17">
        <v>7.47970928E8</v>
      </c>
      <c r="C17" s="17">
        <v>6.3789957E8</v>
      </c>
      <c r="D17" s="17">
        <v>1.10071358E8</v>
      </c>
      <c r="E17" s="17">
        <v>3737484.0</v>
      </c>
      <c r="F17" s="17">
        <v>2007473.0</v>
      </c>
      <c r="G17" s="17">
        <v>5799466.0</v>
      </c>
      <c r="H17" s="18">
        <f t="shared" ref="H17:I17" si="18">B17/C17</f>
        <v>1.172552802</v>
      </c>
      <c r="I17" s="18">
        <f t="shared" si="18"/>
        <v>5.795327518</v>
      </c>
      <c r="J17" s="19">
        <f t="shared" si="3"/>
        <v>0.346147904</v>
      </c>
      <c r="K17" s="20">
        <f t="shared" si="4"/>
        <v>0.6444531272</v>
      </c>
      <c r="L17" s="18">
        <f t="shared" si="5"/>
        <v>0.007753598145</v>
      </c>
    </row>
    <row r="18" ht="15.75" customHeight="1">
      <c r="A18" s="16">
        <v>43070.0</v>
      </c>
      <c r="B18" s="17">
        <v>7.70223988E8</v>
      </c>
      <c r="C18" s="17">
        <v>6.54315435E8</v>
      </c>
      <c r="D18" s="17">
        <v>1.15908553E8</v>
      </c>
      <c r="E18" s="17">
        <v>4427747.0</v>
      </c>
      <c r="F18" s="17">
        <v>2014108.0</v>
      </c>
      <c r="G18" s="17">
        <v>6212330.0</v>
      </c>
      <c r="H18" s="18">
        <f t="shared" ref="H18:I18" si="19">B18/C18</f>
        <v>1.177144764</v>
      </c>
      <c r="I18" s="18">
        <f t="shared" si="19"/>
        <v>5.645100539</v>
      </c>
      <c r="J18" s="19">
        <f t="shared" si="3"/>
        <v>0.3242113667</v>
      </c>
      <c r="K18" s="20">
        <f t="shared" si="4"/>
        <v>0.7127353183</v>
      </c>
      <c r="L18" s="18">
        <f t="shared" si="5"/>
        <v>0.008065614804</v>
      </c>
    </row>
    <row r="19" ht="15.75" customHeight="1">
      <c r="A19" s="16">
        <v>43160.0</v>
      </c>
      <c r="B19" s="17">
        <v>8.22362468E8</v>
      </c>
      <c r="C19" s="17">
        <v>7.04070277E8</v>
      </c>
      <c r="D19" s="17">
        <v>1.18292191E8</v>
      </c>
      <c r="E19" s="17">
        <v>5947375.0</v>
      </c>
      <c r="F19" s="17">
        <v>1288389.0</v>
      </c>
      <c r="G19" s="17">
        <v>5792567.0</v>
      </c>
      <c r="H19" s="18">
        <f t="shared" ref="H19:I19" si="20">B19/C19</f>
        <v>1.168011909</v>
      </c>
      <c r="I19" s="18">
        <f t="shared" si="20"/>
        <v>5.951959052</v>
      </c>
      <c r="J19" s="19">
        <f t="shared" si="3"/>
        <v>0.2224210786</v>
      </c>
      <c r="K19" s="20">
        <f t="shared" si="4"/>
        <v>1.026725284</v>
      </c>
      <c r="L19" s="18">
        <f t="shared" si="5"/>
        <v>0.007043812462</v>
      </c>
    </row>
    <row r="20" ht="15.75" customHeight="1">
      <c r="A20" s="16">
        <v>43252.0</v>
      </c>
      <c r="B20" s="17">
        <v>8.32268808E8</v>
      </c>
      <c r="C20" s="17">
        <v>7.08934242E8</v>
      </c>
      <c r="D20" s="17">
        <v>1.23334566E8</v>
      </c>
      <c r="E20" s="17">
        <v>4324630.0</v>
      </c>
      <c r="F20" s="17">
        <v>1575735.0</v>
      </c>
      <c r="G20" s="17">
        <v>4978017.0</v>
      </c>
      <c r="H20" s="18">
        <f t="shared" ref="H20:I20" si="21">B20/C20</f>
        <v>1.1739718</v>
      </c>
      <c r="I20" s="18">
        <f t="shared" si="21"/>
        <v>5.748058026</v>
      </c>
      <c r="J20" s="19">
        <f t="shared" si="3"/>
        <v>0.316538694</v>
      </c>
      <c r="K20" s="20">
        <f t="shared" si="4"/>
        <v>0.8687455266</v>
      </c>
      <c r="L20" s="18">
        <f t="shared" si="5"/>
        <v>0.005981261045</v>
      </c>
    </row>
    <row r="21" ht="15.75" customHeight="1">
      <c r="A21" s="16">
        <v>43344.0</v>
      </c>
      <c r="B21" s="17">
        <v>9.28455208E8</v>
      </c>
      <c r="C21" s="17">
        <v>7.98485355E8</v>
      </c>
      <c r="D21" s="17">
        <v>1.29969853E8</v>
      </c>
      <c r="E21" s="17">
        <v>3190081.0</v>
      </c>
      <c r="F21" s="17">
        <v>1631793.0</v>
      </c>
      <c r="G21" s="17">
        <v>5733691.0</v>
      </c>
      <c r="H21" s="18">
        <f t="shared" ref="H21:I21" si="22">B21/C21</f>
        <v>1.162770491</v>
      </c>
      <c r="I21" s="18">
        <f t="shared" si="22"/>
        <v>6.143619744</v>
      </c>
      <c r="J21" s="19">
        <f t="shared" si="3"/>
        <v>0.2845973039</v>
      </c>
      <c r="K21" s="20">
        <f t="shared" si="4"/>
        <v>0.556374768</v>
      </c>
      <c r="L21" s="18">
        <f t="shared" si="5"/>
        <v>0.006175517085</v>
      </c>
    </row>
    <row r="22" ht="15.75" customHeight="1">
      <c r="A22" s="16">
        <v>43435.0</v>
      </c>
      <c r="B22" s="17">
        <v>1.008279948E9</v>
      </c>
      <c r="C22" s="17">
        <v>8.69691023E8</v>
      </c>
      <c r="D22" s="17">
        <v>1.38588925E8</v>
      </c>
      <c r="E22" s="17">
        <v>3221334.0</v>
      </c>
      <c r="F22" s="17">
        <v>2133132.0</v>
      </c>
      <c r="G22" s="17">
        <v>6411129.0</v>
      </c>
      <c r="H22" s="18">
        <f t="shared" ref="H22:I22" si="23">B22/C22</f>
        <v>1.159354209</v>
      </c>
      <c r="I22" s="18">
        <f t="shared" si="23"/>
        <v>6.275328443</v>
      </c>
      <c r="J22" s="19">
        <f t="shared" si="3"/>
        <v>0.3327233004</v>
      </c>
      <c r="K22" s="20">
        <f t="shared" si="4"/>
        <v>0.5024597072</v>
      </c>
      <c r="L22" s="18">
        <f t="shared" si="5"/>
        <v>0.006358481107</v>
      </c>
    </row>
    <row r="23" ht="15.75" customHeight="1">
      <c r="A23" s="16">
        <v>43525.0</v>
      </c>
      <c r="B23" s="17">
        <v>1.043914844E9</v>
      </c>
      <c r="C23" s="17">
        <v>8.91980592E8</v>
      </c>
      <c r="D23" s="17">
        <v>1.51934252E8</v>
      </c>
      <c r="E23" s="17">
        <v>8881927.0</v>
      </c>
      <c r="F23" s="17">
        <v>2404967.0</v>
      </c>
      <c r="G23" s="17">
        <v>7732612.0</v>
      </c>
      <c r="H23" s="18">
        <f t="shared" ref="H23:I23" si="24">B23/C23</f>
        <v>1.170333585</v>
      </c>
      <c r="I23" s="18">
        <f t="shared" si="24"/>
        <v>5.870832813</v>
      </c>
      <c r="J23" s="19">
        <f t="shared" si="3"/>
        <v>0.3110161224</v>
      </c>
      <c r="K23" s="20">
        <f t="shared" si="4"/>
        <v>1.148632183</v>
      </c>
      <c r="L23" s="18">
        <f t="shared" si="5"/>
        <v>0.007407320668</v>
      </c>
    </row>
    <row r="24" ht="15.75" customHeight="1">
      <c r="A24" s="16">
        <v>43617.0</v>
      </c>
      <c r="B24" s="17">
        <v>1.144855978E9</v>
      </c>
      <c r="C24" s="17">
        <v>9.55084702E8</v>
      </c>
      <c r="D24" s="17">
        <v>1.89771276E8</v>
      </c>
      <c r="E24" s="17">
        <v>9955273.0</v>
      </c>
      <c r="F24" s="17">
        <v>1637239.0</v>
      </c>
      <c r="G24" s="17">
        <v>5106338.0</v>
      </c>
      <c r="H24" s="18">
        <f t="shared" ref="H24:I24" si="25">B24/C24</f>
        <v>1.198695755</v>
      </c>
      <c r="I24" s="18">
        <f t="shared" si="25"/>
        <v>5.032820151</v>
      </c>
      <c r="J24" s="19">
        <f t="shared" si="3"/>
        <v>0.320628795</v>
      </c>
      <c r="K24" s="20">
        <f t="shared" si="4"/>
        <v>1.949591468</v>
      </c>
      <c r="L24" s="18">
        <f t="shared" si="5"/>
        <v>0.004460244868</v>
      </c>
    </row>
    <row r="25" ht="15.75" customHeight="1">
      <c r="A25" s="16">
        <v>43709.0</v>
      </c>
      <c r="B25" s="17">
        <v>1.221164176E9</v>
      </c>
      <c r="C25" s="17">
        <v>1.023478776E9</v>
      </c>
      <c r="D25" s="17">
        <v>1.97685399E8</v>
      </c>
      <c r="E25" s="17">
        <v>2863208.0</v>
      </c>
      <c r="F25" s="17">
        <v>1969665.0</v>
      </c>
      <c r="G25" s="17">
        <v>6449678.0</v>
      </c>
      <c r="H25" s="18">
        <f t="shared" ref="H25:I25" si="26">B25/C25</f>
        <v>1.193150464</v>
      </c>
      <c r="I25" s="18">
        <f t="shared" si="26"/>
        <v>5.177310925</v>
      </c>
      <c r="J25" s="19">
        <f t="shared" si="3"/>
        <v>0.3053896644</v>
      </c>
      <c r="K25" s="20">
        <f t="shared" si="4"/>
        <v>0.4439303792</v>
      </c>
      <c r="L25" s="18">
        <f t="shared" si="5"/>
        <v>0.005281581401</v>
      </c>
    </row>
    <row r="26" ht="15.75" customHeight="1">
      <c r="A26" s="16">
        <v>43800.0</v>
      </c>
      <c r="B26" s="17">
        <v>1.278447033E9</v>
      </c>
      <c r="C26" s="17">
        <v>1.071060816E9</v>
      </c>
      <c r="D26" s="17">
        <v>2.07386218E8</v>
      </c>
      <c r="E26" s="17">
        <v>3410080.0</v>
      </c>
      <c r="F26" s="17">
        <v>2258593.0</v>
      </c>
      <c r="G26" s="17">
        <v>6554993.0</v>
      </c>
      <c r="H26" s="18">
        <f t="shared" ref="H26:I26" si="27">B26/C26</f>
        <v>1.193626929</v>
      </c>
      <c r="I26" s="18">
        <f t="shared" si="27"/>
        <v>5.164570849</v>
      </c>
      <c r="J26" s="19">
        <f t="shared" si="3"/>
        <v>0.3445607036</v>
      </c>
      <c r="K26" s="20">
        <f t="shared" si="4"/>
        <v>0.5202263374</v>
      </c>
      <c r="L26" s="18">
        <f t="shared" si="5"/>
        <v>0.005127309017</v>
      </c>
    </row>
    <row r="27" ht="15.75" customHeight="1">
      <c r="A27" s="16">
        <v>43891.0</v>
      </c>
      <c r="B27" s="17">
        <v>1.335926194E9</v>
      </c>
      <c r="C27" s="17">
        <v>1.123352952E9</v>
      </c>
      <c r="D27" s="17">
        <v>2.12573242E8</v>
      </c>
      <c r="E27" s="17">
        <v>3559844.0</v>
      </c>
      <c r="F27" s="17">
        <v>2046983.0</v>
      </c>
      <c r="G27" s="17">
        <v>6995385.0</v>
      </c>
      <c r="H27" s="18">
        <f t="shared" ref="H27:I27" si="28">B27/C27</f>
        <v>1.189231035</v>
      </c>
      <c r="I27" s="18">
        <f t="shared" si="28"/>
        <v>5.284545418</v>
      </c>
      <c r="J27" s="19">
        <f t="shared" si="3"/>
        <v>0.2926190624</v>
      </c>
      <c r="K27" s="20">
        <f t="shared" si="4"/>
        <v>0.5088846432</v>
      </c>
      <c r="L27" s="18">
        <f t="shared" si="5"/>
        <v>0.005236355894</v>
      </c>
    </row>
    <row r="28" ht="15.75" customHeight="1">
      <c r="A28" s="16">
        <v>43983.0</v>
      </c>
      <c r="B28" s="17">
        <v>7.55981865E8</v>
      </c>
      <c r="C28" s="17">
        <v>5.727591E8</v>
      </c>
      <c r="D28" s="17">
        <v>1.83222765E8</v>
      </c>
      <c r="E28" s="17">
        <v>3.7251868E7</v>
      </c>
      <c r="F28" s="17">
        <v>1676024.0</v>
      </c>
      <c r="G28" s="17">
        <v>5136441.0</v>
      </c>
      <c r="H28" s="18">
        <f t="shared" ref="H28:I28" si="29">B28/C28</f>
        <v>1.319894987</v>
      </c>
      <c r="I28" s="18">
        <f t="shared" si="29"/>
        <v>3.126025852</v>
      </c>
      <c r="J28" s="19">
        <f t="shared" si="3"/>
        <v>0.3263006428</v>
      </c>
      <c r="K28" s="20">
        <f t="shared" si="4"/>
        <v>7.252466835</v>
      </c>
      <c r="L28" s="18">
        <f t="shared" si="5"/>
        <v>0.006794397112</v>
      </c>
    </row>
    <row r="29" ht="15.75" customHeight="1">
      <c r="A29" s="16">
        <v>44075.0</v>
      </c>
      <c r="B29" s="17">
        <v>7.78282853E8</v>
      </c>
      <c r="C29" s="17">
        <v>5.6518152E8</v>
      </c>
      <c r="D29" s="17">
        <v>2.13101333E8</v>
      </c>
      <c r="E29" s="17">
        <v>4027002.0</v>
      </c>
      <c r="F29" s="17">
        <v>3147950.0</v>
      </c>
      <c r="G29" s="17">
        <v>9192275.0</v>
      </c>
      <c r="H29" s="18">
        <f t="shared" ref="H29:I29" si="30">B29/C29</f>
        <v>1.377049365</v>
      </c>
      <c r="I29" s="18">
        <f t="shared" si="30"/>
        <v>2.652172617</v>
      </c>
      <c r="J29" s="19">
        <f t="shared" si="3"/>
        <v>0.3424560297</v>
      </c>
      <c r="K29" s="20">
        <f t="shared" si="4"/>
        <v>0.4380854576</v>
      </c>
      <c r="L29" s="18">
        <f t="shared" si="5"/>
        <v>0.01181096945</v>
      </c>
    </row>
    <row r="30" ht="15.75" customHeight="1">
      <c r="A30" s="16">
        <v>44166.0</v>
      </c>
      <c r="B30" s="17">
        <v>8.19956513E8</v>
      </c>
      <c r="C30" s="17">
        <v>5.94914907E8</v>
      </c>
      <c r="D30" s="17">
        <v>2.25041606E8</v>
      </c>
      <c r="E30" s="17">
        <v>4046735.0</v>
      </c>
      <c r="F30" s="17">
        <v>2390509.0</v>
      </c>
      <c r="G30" s="17">
        <v>7657752.0</v>
      </c>
      <c r="H30" s="18">
        <f t="shared" ref="H30:I30" si="31">B30/C30</f>
        <v>1.378275285</v>
      </c>
      <c r="I30" s="18">
        <f t="shared" si="31"/>
        <v>2.643577415</v>
      </c>
      <c r="J30" s="19">
        <f t="shared" si="3"/>
        <v>0.3121685058</v>
      </c>
      <c r="K30" s="20">
        <f t="shared" si="4"/>
        <v>0.5284494719</v>
      </c>
      <c r="L30" s="18">
        <f t="shared" si="5"/>
        <v>0.009339217237</v>
      </c>
    </row>
    <row r="31" ht="15.75" customHeight="1">
      <c r="A31" s="16">
        <v>44256.0</v>
      </c>
      <c r="B31" s="17">
        <v>8.69540941E8</v>
      </c>
      <c r="C31" s="17">
        <v>6.3675164E8</v>
      </c>
      <c r="D31" s="17">
        <v>2.32789301E8</v>
      </c>
      <c r="E31" s="17">
        <v>7871586.0</v>
      </c>
      <c r="F31" s="17">
        <v>3244730.0</v>
      </c>
      <c r="G31" s="17">
        <v>1.1611759E7</v>
      </c>
      <c r="H31" s="18">
        <f t="shared" ref="H31:I31" si="32">B31/C31</f>
        <v>1.365588852</v>
      </c>
      <c r="I31" s="18">
        <f t="shared" si="32"/>
        <v>2.735313166</v>
      </c>
      <c r="J31" s="19">
        <f t="shared" si="3"/>
        <v>0.2794348384</v>
      </c>
      <c r="K31" s="20">
        <f t="shared" si="4"/>
        <v>0.6778978103</v>
      </c>
      <c r="L31" s="18">
        <f t="shared" si="5"/>
        <v>0.01335389566</v>
      </c>
    </row>
    <row r="32" ht="15.75" customHeight="1">
      <c r="A32" s="16">
        <v>44348.0</v>
      </c>
      <c r="B32" s="17">
        <v>9.25887499E8</v>
      </c>
      <c r="C32" s="17">
        <v>6.85959297E8</v>
      </c>
      <c r="D32" s="17">
        <v>2.39928202E8</v>
      </c>
      <c r="E32" s="17">
        <v>4134295.0</v>
      </c>
      <c r="F32" s="17">
        <v>3043184.0</v>
      </c>
      <c r="G32" s="17">
        <v>1.0428243E7</v>
      </c>
      <c r="H32" s="18">
        <f t="shared" ref="H32:I32" si="33">B32/C32</f>
        <v>1.349770319</v>
      </c>
      <c r="I32" s="18">
        <f t="shared" si="33"/>
        <v>2.859019037</v>
      </c>
      <c r="J32" s="19">
        <f t="shared" si="3"/>
        <v>0.2918213548</v>
      </c>
      <c r="K32" s="20">
        <f t="shared" si="4"/>
        <v>0.3964517321</v>
      </c>
      <c r="L32" s="18">
        <f t="shared" si="5"/>
        <v>0.01126296987</v>
      </c>
    </row>
    <row r="33" ht="15.75" customHeight="1">
      <c r="A33" s="16">
        <v>44440.0</v>
      </c>
      <c r="B33" s="17">
        <v>9.59475963E8</v>
      </c>
      <c r="C33" s="17">
        <v>7.11753253E8</v>
      </c>
      <c r="D33" s="17">
        <v>2.4772271E8</v>
      </c>
      <c r="E33" s="17">
        <v>1.0507156E7</v>
      </c>
      <c r="F33" s="17">
        <v>3160344.0</v>
      </c>
      <c r="G33" s="17">
        <v>1.2521936E7</v>
      </c>
      <c r="H33" s="18">
        <f t="shared" ref="H33:I33" si="34">B33/C33</f>
        <v>1.348045771</v>
      </c>
      <c r="I33" s="18">
        <f t="shared" si="34"/>
        <v>2.873185317</v>
      </c>
      <c r="J33" s="19">
        <f t="shared" si="3"/>
        <v>0.2523846153</v>
      </c>
      <c r="K33" s="20">
        <f t="shared" si="4"/>
        <v>0.8390999603</v>
      </c>
      <c r="L33" s="18">
        <f t="shared" si="5"/>
        <v>0.0130508074</v>
      </c>
    </row>
    <row r="34" ht="15.75" customHeight="1">
      <c r="A34" s="16">
        <v>44531.0</v>
      </c>
      <c r="B34" s="17">
        <v>9.98852994E8</v>
      </c>
      <c r="C34" s="17">
        <v>7.51972496E8</v>
      </c>
      <c r="D34" s="17">
        <v>2.46880498E8</v>
      </c>
      <c r="E34" s="17">
        <v>9718785.0</v>
      </c>
      <c r="F34" s="17">
        <v>4253456.0</v>
      </c>
      <c r="G34" s="17">
        <v>1.3641745E7</v>
      </c>
      <c r="H34" s="18">
        <f t="shared" ref="H34:I34" si="35">B34/C34</f>
        <v>1.328310542</v>
      </c>
      <c r="I34" s="18">
        <f t="shared" si="35"/>
        <v>3.045896707</v>
      </c>
      <c r="J34" s="19">
        <f t="shared" si="3"/>
        <v>0.3117970612</v>
      </c>
      <c r="K34" s="20">
        <f t="shared" si="4"/>
        <v>0.7124297515</v>
      </c>
      <c r="L34" s="18">
        <f t="shared" si="5"/>
        <v>0.01365741013</v>
      </c>
    </row>
    <row r="35" ht="15.75" customHeight="1">
      <c r="A35" s="16">
        <v>44621.0</v>
      </c>
      <c r="B35" s="17">
        <v>1.354157417E9</v>
      </c>
      <c r="C35" s="17">
        <v>9.51400782E8</v>
      </c>
      <c r="D35" s="17">
        <v>4.02756635E8</v>
      </c>
      <c r="E35" s="17">
        <v>5.3417325E7</v>
      </c>
      <c r="F35" s="17">
        <v>4980287.0</v>
      </c>
      <c r="G35" s="17">
        <v>1.8691138E7</v>
      </c>
      <c r="H35" s="18">
        <f t="shared" ref="H35:I35" si="36">B35/C35</f>
        <v>1.423330149</v>
      </c>
      <c r="I35" s="18">
        <f t="shared" si="36"/>
        <v>2.362222492</v>
      </c>
      <c r="J35" s="19">
        <f t="shared" si="3"/>
        <v>0.2664517805</v>
      </c>
      <c r="K35" s="20">
        <f t="shared" si="4"/>
        <v>2.857895811</v>
      </c>
      <c r="L35" s="18">
        <f t="shared" si="5"/>
        <v>0.0138027808</v>
      </c>
    </row>
    <row r="36" ht="15.75" customHeight="1">
      <c r="A36" s="16">
        <v>44713.0</v>
      </c>
      <c r="B36" s="17">
        <v>1.692316684E9</v>
      </c>
      <c r="C36" s="17">
        <v>1.217095996E9</v>
      </c>
      <c r="D36" s="17">
        <v>4.75220688E8</v>
      </c>
      <c r="E36" s="17">
        <v>2.0627625E7</v>
      </c>
      <c r="F36" s="17">
        <v>7390062.0</v>
      </c>
      <c r="G36" s="17">
        <v>2.0676025E7</v>
      </c>
      <c r="H36" s="18">
        <f t="shared" ref="H36:I36" si="37">B36/C36</f>
        <v>1.390454565</v>
      </c>
      <c r="I36" s="18">
        <f t="shared" si="37"/>
        <v>2.561117449</v>
      </c>
      <c r="J36" s="19">
        <f t="shared" si="3"/>
        <v>0.3574217965</v>
      </c>
      <c r="K36" s="20">
        <f t="shared" si="4"/>
        <v>0.9976591245</v>
      </c>
      <c r="L36" s="18">
        <f t="shared" si="5"/>
        <v>0.01221758622</v>
      </c>
    </row>
    <row r="37" ht="15.75" customHeight="1">
      <c r="A37" s="16">
        <v>44805.0</v>
      </c>
      <c r="B37" s="17">
        <v>1.70243081E9</v>
      </c>
      <c r="C37" s="17">
        <v>1.231423914E9</v>
      </c>
      <c r="D37" s="17">
        <v>4.71006896E8</v>
      </c>
      <c r="E37" s="17">
        <v>318783.0</v>
      </c>
      <c r="F37" s="17">
        <v>6502012.0</v>
      </c>
      <c r="G37" s="17">
        <v>1.8567194E7</v>
      </c>
      <c r="H37" s="18">
        <f t="shared" ref="H37:I37" si="38">B37/C37</f>
        <v>1.382489645</v>
      </c>
      <c r="I37" s="18">
        <f t="shared" si="38"/>
        <v>2.614449861</v>
      </c>
      <c r="J37" s="19">
        <f t="shared" si="3"/>
        <v>0.3501881868</v>
      </c>
      <c r="K37" s="20">
        <f t="shared" si="4"/>
        <v>0.01716915329</v>
      </c>
      <c r="L37" s="18">
        <f t="shared" si="5"/>
        <v>0.01090628406</v>
      </c>
    </row>
    <row r="38" ht="15.75" customHeight="1">
      <c r="A38" s="16">
        <v>44896.0</v>
      </c>
      <c r="B38" s="17">
        <v>1.731428825E9</v>
      </c>
      <c r="C38" s="17">
        <v>1.25370896E9</v>
      </c>
      <c r="D38" s="17">
        <v>4.77719865E8</v>
      </c>
      <c r="E38" s="17">
        <v>5741971.0</v>
      </c>
      <c r="F38" s="17">
        <v>8145351.0</v>
      </c>
      <c r="G38" s="17">
        <v>2.2698782E7</v>
      </c>
      <c r="H38" s="18">
        <f t="shared" ref="H38:I38" si="39">B38/C38</f>
        <v>1.381045267</v>
      </c>
      <c r="I38" s="18">
        <f t="shared" si="39"/>
        <v>2.624360115</v>
      </c>
      <c r="J38" s="19">
        <f t="shared" si="3"/>
        <v>0.3588452896</v>
      </c>
      <c r="K38" s="20">
        <f t="shared" si="4"/>
        <v>0.2529638374</v>
      </c>
      <c r="L38" s="18">
        <f t="shared" si="5"/>
        <v>0.01310985567</v>
      </c>
    </row>
    <row r="39" ht="15.75" customHeight="1">
      <c r="A39" s="16">
        <v>44986.0</v>
      </c>
      <c r="B39" s="17">
        <v>1.566181054E9</v>
      </c>
      <c r="C39" s="17">
        <v>1.13216364E9</v>
      </c>
      <c r="D39" s="17">
        <v>4.34019414E8</v>
      </c>
      <c r="E39" s="17">
        <v>4301943.0</v>
      </c>
      <c r="F39" s="17">
        <v>3872461.0</v>
      </c>
      <c r="G39" s="17">
        <v>2.0740569E7</v>
      </c>
      <c r="H39" s="18">
        <f t="shared" ref="H39:I39" si="40">B39/C39</f>
        <v>1.383352193</v>
      </c>
      <c r="I39" s="18">
        <f t="shared" si="40"/>
        <v>2.608555294</v>
      </c>
      <c r="J39" s="19">
        <f t="shared" si="3"/>
        <v>0.1867094871</v>
      </c>
      <c r="K39" s="20">
        <f t="shared" si="4"/>
        <v>0.2074168264</v>
      </c>
      <c r="L39" s="18">
        <f t="shared" si="5"/>
        <v>0.01324276586</v>
      </c>
    </row>
    <row r="40" ht="15.75" customHeight="1">
      <c r="A40" s="16">
        <v>45078.0</v>
      </c>
      <c r="B40" s="17">
        <v>1.534786904E9</v>
      </c>
      <c r="C40" s="17">
        <v>1.112947076E9</v>
      </c>
      <c r="D40" s="17">
        <v>4.21839828E8</v>
      </c>
      <c r="E40" s="17">
        <v>1238233.0</v>
      </c>
      <c r="F40" s="17">
        <v>6531003.0</v>
      </c>
      <c r="G40" s="17">
        <v>2.301371E7</v>
      </c>
      <c r="H40" s="18">
        <f t="shared" ref="H40:I40" si="41">B40/C40</f>
        <v>1.379029549</v>
      </c>
      <c r="I40" s="18">
        <f t="shared" si="41"/>
        <v>2.638316731</v>
      </c>
      <c r="J40" s="19">
        <f t="shared" si="3"/>
        <v>0.2837874902</v>
      </c>
      <c r="K40" s="20">
        <f t="shared" si="4"/>
        <v>0.05380414544</v>
      </c>
      <c r="L40" s="18">
        <f t="shared" si="5"/>
        <v>0.01499472659</v>
      </c>
    </row>
    <row r="41" ht="15.75" customHeight="1">
      <c r="A41" s="16">
        <v>45170.0</v>
      </c>
      <c r="B41" s="17">
        <v>1.635212921E9</v>
      </c>
      <c r="C41" s="17">
        <v>1.197823452E9</v>
      </c>
      <c r="D41" s="17">
        <v>4.37389469E8</v>
      </c>
      <c r="E41" s="17">
        <v>1802185.0</v>
      </c>
      <c r="F41" s="17">
        <v>5020882.0</v>
      </c>
      <c r="G41" s="17">
        <v>1.8155848E7</v>
      </c>
      <c r="H41" s="18">
        <f t="shared" ref="H41:I41" si="42">B41/C41</f>
        <v>1.365153536</v>
      </c>
      <c r="I41" s="18">
        <f t="shared" si="42"/>
        <v>2.738574056</v>
      </c>
      <c r="J41" s="19">
        <f t="shared" si="3"/>
        <v>0.2765435137</v>
      </c>
      <c r="K41" s="20">
        <f t="shared" si="4"/>
        <v>0.09926195681</v>
      </c>
      <c r="L41" s="18">
        <f t="shared" si="5"/>
        <v>0.01110304827</v>
      </c>
    </row>
    <row r="42" ht="15.75" customHeight="1">
      <c r="A42" s="16">
        <v>45261.0</v>
      </c>
      <c r="B42" s="17">
        <v>1.734427511E9</v>
      </c>
      <c r="C42" s="17">
        <v>1.244655907E9</v>
      </c>
      <c r="D42" s="17">
        <v>4.89771604E8</v>
      </c>
      <c r="E42" s="17">
        <v>2.8972562E7</v>
      </c>
      <c r="F42" s="17">
        <v>5075172.0</v>
      </c>
      <c r="G42" s="17">
        <v>1.925836E7</v>
      </c>
      <c r="H42" s="18">
        <f t="shared" ref="H42:I42" si="43">B42/C42</f>
        <v>1.393499602</v>
      </c>
      <c r="I42" s="18">
        <f t="shared" si="43"/>
        <v>2.541298632</v>
      </c>
      <c r="J42" s="19">
        <f t="shared" si="3"/>
        <v>0.263530851</v>
      </c>
      <c r="K42" s="20">
        <f t="shared" si="4"/>
        <v>1.50441481</v>
      </c>
      <c r="L42" s="18">
        <f t="shared" si="5"/>
        <v>0.0111035831</v>
      </c>
    </row>
    <row r="43" ht="15.75" customHeight="1">
      <c r="A43" s="16">
        <v>45352.0</v>
      </c>
      <c r="B43" s="17">
        <v>1.735118871E9</v>
      </c>
      <c r="C43" s="17">
        <v>1.246425984E9</v>
      </c>
      <c r="D43" s="17">
        <v>4.88692887E8</v>
      </c>
      <c r="E43" s="17">
        <v>1.0283239E7</v>
      </c>
      <c r="F43" s="17">
        <v>1.1085261E7</v>
      </c>
      <c r="G43" s="17">
        <v>2.5509152E7</v>
      </c>
      <c r="H43" s="18">
        <f t="shared" ref="H43:I43" si="44">B43/C43</f>
        <v>1.392075336</v>
      </c>
      <c r="I43" s="18">
        <f t="shared" si="44"/>
        <v>2.550530235</v>
      </c>
      <c r="J43" s="19">
        <f t="shared" si="3"/>
        <v>0.4345601532</v>
      </c>
      <c r="K43" s="20">
        <f t="shared" si="4"/>
        <v>0.4031195941</v>
      </c>
      <c r="L43" s="18">
        <f t="shared" si="5"/>
        <v>0.014701674</v>
      </c>
    </row>
    <row r="44" ht="15.75" customHeight="1">
      <c r="A44" s="22"/>
      <c r="J44" s="19"/>
      <c r="K44" s="20"/>
    </row>
    <row r="45" ht="15.75" customHeight="1">
      <c r="A45" s="22"/>
      <c r="J45" s="19"/>
      <c r="K45" s="20"/>
    </row>
    <row r="46" ht="15.75" customHeight="1">
      <c r="A46" s="22"/>
      <c r="J46" s="19"/>
      <c r="K46" s="20"/>
    </row>
    <row r="47" ht="15.75" customHeight="1">
      <c r="A47" s="22"/>
      <c r="J47" s="19"/>
      <c r="K47" s="20"/>
    </row>
    <row r="48" ht="15.75" customHeight="1">
      <c r="A48" s="22"/>
      <c r="J48" s="19"/>
      <c r="K48" s="20"/>
    </row>
    <row r="49" ht="15.75" customHeight="1">
      <c r="A49" s="22"/>
      <c r="J49" s="19"/>
      <c r="K49" s="20"/>
    </row>
    <row r="50" ht="15.75" customHeight="1">
      <c r="A50" s="22"/>
      <c r="J50" s="19"/>
      <c r="K50" s="20"/>
    </row>
    <row r="51" ht="15.75" customHeight="1">
      <c r="A51" s="22"/>
      <c r="J51" s="19"/>
      <c r="K51" s="20"/>
    </row>
    <row r="52" ht="15.75" customHeight="1">
      <c r="A52" s="22"/>
      <c r="J52" s="19"/>
      <c r="K52" s="20"/>
    </row>
    <row r="53" ht="15.75" customHeight="1">
      <c r="A53" s="22"/>
      <c r="J53" s="19"/>
      <c r="K53" s="20"/>
    </row>
    <row r="54" ht="15.75" customHeight="1">
      <c r="A54" s="22"/>
      <c r="J54" s="19"/>
      <c r="K54" s="20"/>
    </row>
    <row r="55" ht="15.75" customHeight="1">
      <c r="A55" s="22"/>
      <c r="J55" s="19"/>
      <c r="K55" s="20"/>
    </row>
    <row r="56" ht="15.75" customHeight="1">
      <c r="A56" s="22"/>
      <c r="J56" s="19"/>
      <c r="K56" s="20"/>
    </row>
    <row r="57" ht="15.75" customHeight="1">
      <c r="A57" s="22"/>
      <c r="J57" s="19"/>
      <c r="K57" s="20"/>
    </row>
    <row r="58" ht="15.75" customHeight="1">
      <c r="A58" s="22"/>
      <c r="J58" s="19"/>
      <c r="K58" s="20"/>
    </row>
    <row r="59" ht="15.75" customHeight="1">
      <c r="A59" s="22"/>
      <c r="J59" s="19"/>
      <c r="K59" s="20"/>
    </row>
    <row r="60" ht="15.75" customHeight="1">
      <c r="A60" s="22"/>
      <c r="J60" s="19"/>
      <c r="K60" s="20"/>
    </row>
    <row r="61" ht="15.75" customHeight="1">
      <c r="A61" s="22"/>
      <c r="J61" s="19"/>
      <c r="K61" s="20"/>
    </row>
    <row r="62" ht="15.75" customHeight="1">
      <c r="A62" s="22"/>
      <c r="J62" s="19"/>
      <c r="K62" s="20"/>
    </row>
    <row r="63" ht="15.75" customHeight="1">
      <c r="A63" s="22"/>
      <c r="J63" s="19"/>
      <c r="K63" s="20"/>
    </row>
    <row r="64" ht="15.75" customHeight="1">
      <c r="A64" s="22"/>
      <c r="J64" s="19"/>
      <c r="K64" s="20"/>
    </row>
    <row r="65" ht="15.75" customHeight="1">
      <c r="A65" s="22"/>
      <c r="J65" s="19"/>
      <c r="K65" s="20"/>
    </row>
    <row r="66" ht="15.75" customHeight="1">
      <c r="A66" s="22"/>
      <c r="J66" s="19"/>
      <c r="K66" s="20"/>
    </row>
    <row r="67" ht="15.75" customHeight="1">
      <c r="A67" s="22"/>
      <c r="J67" s="19"/>
      <c r="K67" s="20"/>
    </row>
    <row r="68" ht="15.75" customHeight="1">
      <c r="A68" s="22"/>
      <c r="J68" s="19"/>
      <c r="K68" s="20"/>
    </row>
    <row r="69" ht="15.75" customHeight="1">
      <c r="A69" s="22"/>
      <c r="J69" s="19"/>
      <c r="K69" s="20"/>
    </row>
    <row r="70" ht="15.75" customHeight="1">
      <c r="A70" s="22"/>
      <c r="J70" s="19"/>
      <c r="K70" s="20"/>
    </row>
    <row r="71" ht="15.75" customHeight="1">
      <c r="A71" s="22"/>
      <c r="J71" s="19"/>
      <c r="K71" s="20"/>
    </row>
    <row r="72" ht="15.75" customHeight="1">
      <c r="A72" s="22"/>
      <c r="J72" s="19"/>
      <c r="K72" s="20"/>
    </row>
    <row r="73" ht="15.75" customHeight="1">
      <c r="A73" s="22"/>
      <c r="J73" s="19"/>
      <c r="K73" s="20"/>
    </row>
    <row r="74" ht="15.75" customHeight="1">
      <c r="A74" s="22"/>
      <c r="J74" s="19"/>
      <c r="K74" s="20"/>
    </row>
    <row r="75" ht="15.75" customHeight="1">
      <c r="A75" s="22"/>
      <c r="J75" s="19"/>
      <c r="K75" s="20"/>
    </row>
    <row r="76" ht="15.75" customHeight="1">
      <c r="A76" s="22"/>
      <c r="J76" s="19"/>
      <c r="K76" s="20"/>
    </row>
    <row r="77" ht="15.75" customHeight="1">
      <c r="A77" s="22"/>
      <c r="J77" s="19"/>
      <c r="K77" s="20"/>
    </row>
    <row r="78" ht="15.75" customHeight="1">
      <c r="A78" s="22"/>
      <c r="J78" s="19"/>
      <c r="K78" s="20"/>
    </row>
    <row r="79" ht="15.75" customHeight="1">
      <c r="A79" s="22"/>
      <c r="J79" s="19"/>
      <c r="K79" s="20"/>
    </row>
    <row r="80" ht="15.75" customHeight="1">
      <c r="A80" s="22"/>
      <c r="J80" s="19"/>
      <c r="K80" s="20"/>
    </row>
    <row r="81" ht="15.75" customHeight="1">
      <c r="A81" s="22"/>
      <c r="J81" s="19"/>
      <c r="K81" s="20"/>
    </row>
    <row r="82" ht="15.75" customHeight="1">
      <c r="A82" s="22"/>
      <c r="J82" s="19"/>
      <c r="K82" s="20"/>
    </row>
    <row r="83" ht="15.75" customHeight="1">
      <c r="A83" s="22"/>
      <c r="J83" s="19"/>
      <c r="K83" s="20"/>
    </row>
    <row r="84" ht="15.75" customHeight="1">
      <c r="A84" s="22"/>
      <c r="J84" s="19"/>
      <c r="K84" s="20"/>
    </row>
    <row r="85" ht="15.75" customHeight="1">
      <c r="A85" s="22"/>
      <c r="J85" s="19"/>
      <c r="K85" s="20"/>
    </row>
    <row r="86" ht="15.75" customHeight="1">
      <c r="A86" s="22"/>
      <c r="J86" s="19"/>
      <c r="K86" s="20"/>
    </row>
    <row r="87" ht="15.75" customHeight="1">
      <c r="A87" s="22"/>
      <c r="J87" s="19"/>
      <c r="K87" s="20"/>
    </row>
    <row r="88" ht="15.75" customHeight="1">
      <c r="A88" s="22"/>
      <c r="J88" s="19"/>
      <c r="K88" s="20"/>
    </row>
    <row r="89" ht="15.75" customHeight="1">
      <c r="A89" s="22"/>
      <c r="J89" s="19"/>
      <c r="K89" s="20"/>
    </row>
    <row r="90" ht="15.75" customHeight="1">
      <c r="A90" s="22"/>
      <c r="J90" s="19"/>
      <c r="K90" s="20"/>
    </row>
    <row r="91" ht="15.75" customHeight="1">
      <c r="A91" s="22"/>
      <c r="J91" s="19"/>
      <c r="K91" s="20"/>
    </row>
    <row r="92" ht="15.75" customHeight="1">
      <c r="A92" s="22"/>
      <c r="J92" s="19"/>
      <c r="K92" s="20"/>
    </row>
    <row r="93" ht="15.75" customHeight="1">
      <c r="A93" s="22"/>
      <c r="J93" s="19"/>
      <c r="K93" s="20"/>
    </row>
    <row r="94" ht="15.75" customHeight="1">
      <c r="A94" s="22"/>
      <c r="J94" s="19"/>
      <c r="K94" s="20"/>
    </row>
    <row r="95" ht="15.75" customHeight="1">
      <c r="A95" s="22"/>
      <c r="J95" s="19"/>
      <c r="K95" s="20"/>
    </row>
    <row r="96" ht="15.75" customHeight="1">
      <c r="A96" s="22"/>
      <c r="J96" s="19"/>
      <c r="K96" s="20"/>
    </row>
    <row r="97" ht="15.75" customHeight="1">
      <c r="A97" s="22"/>
      <c r="J97" s="19"/>
      <c r="K97" s="20"/>
    </row>
    <row r="98" ht="15.75" customHeight="1">
      <c r="A98" s="22"/>
      <c r="J98" s="19"/>
      <c r="K98" s="20"/>
    </row>
    <row r="99" ht="15.75" customHeight="1">
      <c r="A99" s="22"/>
      <c r="J99" s="19"/>
      <c r="K99" s="20"/>
    </row>
    <row r="100" ht="15.75" customHeight="1">
      <c r="A100" s="22"/>
      <c r="J100" s="19"/>
      <c r="K100" s="20"/>
    </row>
    <row r="101" ht="15.75" customHeight="1">
      <c r="A101" s="22"/>
      <c r="J101" s="19"/>
      <c r="K101" s="20"/>
    </row>
    <row r="102" ht="15.75" customHeight="1">
      <c r="A102" s="22"/>
      <c r="J102" s="19"/>
      <c r="K102" s="20"/>
    </row>
    <row r="103" ht="15.75" customHeight="1">
      <c r="A103" s="22"/>
      <c r="J103" s="19"/>
      <c r="K103" s="20"/>
    </row>
    <row r="104" ht="15.75" customHeight="1">
      <c r="A104" s="22"/>
      <c r="J104" s="19"/>
      <c r="K104" s="20"/>
    </row>
    <row r="105" ht="15.75" customHeight="1">
      <c r="A105" s="22"/>
      <c r="J105" s="19"/>
      <c r="K105" s="20"/>
    </row>
    <row r="106" ht="15.75" customHeight="1">
      <c r="A106" s="22"/>
      <c r="J106" s="19"/>
      <c r="K106" s="20"/>
    </row>
    <row r="107" ht="15.75" customHeight="1">
      <c r="A107" s="22"/>
      <c r="J107" s="19"/>
      <c r="K107" s="20"/>
    </row>
    <row r="108" ht="15.75" customHeight="1">
      <c r="A108" s="22"/>
      <c r="J108" s="19"/>
      <c r="K108" s="20"/>
    </row>
    <row r="109" ht="15.75" customHeight="1">
      <c r="A109" s="22"/>
      <c r="J109" s="19"/>
      <c r="K109" s="20"/>
    </row>
    <row r="110" ht="15.75" customHeight="1">
      <c r="A110" s="22"/>
      <c r="J110" s="19"/>
      <c r="K110" s="20"/>
    </row>
    <row r="111" ht="15.75" customHeight="1">
      <c r="A111" s="22"/>
      <c r="J111" s="19"/>
      <c r="K111" s="20"/>
    </row>
    <row r="112" ht="15.75" customHeight="1">
      <c r="A112" s="22"/>
      <c r="J112" s="19"/>
      <c r="K112" s="20"/>
    </row>
    <row r="113" ht="15.75" customHeight="1">
      <c r="A113" s="22"/>
      <c r="J113" s="19"/>
      <c r="K113" s="20"/>
    </row>
    <row r="114" ht="15.75" customHeight="1">
      <c r="A114" s="22"/>
      <c r="J114" s="19"/>
      <c r="K114" s="20"/>
    </row>
    <row r="115" ht="15.75" customHeight="1">
      <c r="A115" s="22"/>
      <c r="J115" s="19"/>
      <c r="K115" s="20"/>
    </row>
    <row r="116" ht="15.75" customHeight="1">
      <c r="A116" s="22"/>
      <c r="J116" s="19"/>
      <c r="K116" s="20"/>
    </row>
    <row r="117" ht="15.75" customHeight="1">
      <c r="A117" s="22"/>
      <c r="J117" s="19"/>
      <c r="K117" s="20"/>
    </row>
    <row r="118" ht="15.75" customHeight="1">
      <c r="A118" s="22"/>
      <c r="J118" s="19"/>
      <c r="K118" s="20"/>
    </row>
    <row r="119" ht="15.75" customHeight="1">
      <c r="A119" s="22"/>
      <c r="J119" s="19"/>
      <c r="K119" s="20"/>
    </row>
    <row r="120" ht="15.75" customHeight="1">
      <c r="A120" s="22"/>
      <c r="J120" s="19"/>
      <c r="K120" s="20"/>
    </row>
    <row r="121" ht="15.75" customHeight="1">
      <c r="A121" s="22"/>
      <c r="J121" s="19"/>
      <c r="K121" s="20"/>
    </row>
    <row r="122" ht="15.75" customHeight="1">
      <c r="A122" s="22"/>
      <c r="J122" s="19"/>
      <c r="K122" s="20"/>
    </row>
    <row r="123" ht="15.75" customHeight="1">
      <c r="A123" s="22"/>
      <c r="J123" s="19"/>
      <c r="K123" s="20"/>
    </row>
    <row r="124" ht="15.75" customHeight="1">
      <c r="A124" s="22"/>
      <c r="J124" s="19"/>
      <c r="K124" s="20"/>
    </row>
    <row r="125" ht="15.75" customHeight="1">
      <c r="A125" s="22"/>
      <c r="J125" s="19"/>
      <c r="K125" s="20"/>
    </row>
    <row r="126" ht="15.75" customHeight="1">
      <c r="A126" s="22"/>
      <c r="J126" s="19"/>
      <c r="K126" s="20"/>
    </row>
    <row r="127" ht="15.75" customHeight="1">
      <c r="A127" s="22"/>
      <c r="J127" s="19"/>
      <c r="K127" s="20"/>
    </row>
    <row r="128" ht="15.75" customHeight="1">
      <c r="A128" s="22"/>
      <c r="J128" s="19"/>
      <c r="K128" s="20"/>
    </row>
    <row r="129" ht="15.75" customHeight="1">
      <c r="A129" s="22"/>
      <c r="J129" s="19"/>
      <c r="K129" s="20"/>
    </row>
    <row r="130" ht="15.75" customHeight="1">
      <c r="A130" s="22"/>
      <c r="J130" s="19"/>
      <c r="K130" s="20"/>
    </row>
    <row r="131" ht="15.75" customHeight="1">
      <c r="A131" s="22"/>
      <c r="J131" s="19"/>
      <c r="K131" s="20"/>
    </row>
    <row r="132" ht="15.75" customHeight="1">
      <c r="A132" s="22"/>
      <c r="J132" s="19"/>
      <c r="K132" s="20"/>
    </row>
    <row r="133" ht="15.75" customHeight="1">
      <c r="A133" s="22"/>
      <c r="J133" s="19"/>
      <c r="K133" s="20"/>
    </row>
    <row r="134" ht="15.75" customHeight="1">
      <c r="A134" s="22"/>
      <c r="J134" s="19"/>
      <c r="K134" s="20"/>
    </row>
    <row r="135" ht="15.75" customHeight="1">
      <c r="A135" s="22"/>
      <c r="J135" s="19"/>
      <c r="K135" s="20"/>
    </row>
    <row r="136" ht="15.75" customHeight="1">
      <c r="A136" s="22"/>
      <c r="J136" s="19"/>
      <c r="K136" s="20"/>
    </row>
    <row r="137" ht="15.75" customHeight="1">
      <c r="A137" s="22"/>
      <c r="J137" s="19"/>
      <c r="K137" s="20"/>
    </row>
    <row r="138" ht="15.75" customHeight="1">
      <c r="A138" s="22"/>
      <c r="J138" s="19"/>
      <c r="K138" s="20"/>
    </row>
    <row r="139" ht="15.75" customHeight="1">
      <c r="A139" s="22"/>
      <c r="J139" s="19"/>
      <c r="K139" s="20"/>
    </row>
    <row r="140" ht="15.75" customHeight="1">
      <c r="A140" s="22"/>
      <c r="J140" s="19"/>
      <c r="K140" s="20"/>
    </row>
    <row r="141" ht="15.75" customHeight="1">
      <c r="A141" s="22"/>
      <c r="J141" s="19"/>
      <c r="K141" s="20"/>
    </row>
    <row r="142" ht="15.75" customHeight="1">
      <c r="A142" s="22"/>
      <c r="J142" s="19"/>
      <c r="K142" s="20"/>
    </row>
    <row r="143" ht="15.75" customHeight="1">
      <c r="A143" s="22"/>
      <c r="J143" s="19"/>
      <c r="K143" s="20"/>
    </row>
    <row r="144" ht="15.75" customHeight="1">
      <c r="A144" s="22"/>
      <c r="J144" s="19"/>
      <c r="K144" s="20"/>
    </row>
    <row r="145" ht="15.75" customHeight="1">
      <c r="A145" s="22"/>
      <c r="J145" s="19"/>
      <c r="K145" s="20"/>
    </row>
    <row r="146" ht="15.75" customHeight="1">
      <c r="A146" s="22"/>
      <c r="J146" s="19"/>
      <c r="K146" s="20"/>
    </row>
    <row r="147" ht="15.75" customHeight="1">
      <c r="A147" s="22"/>
      <c r="J147" s="19"/>
      <c r="K147" s="20"/>
    </row>
    <row r="148" ht="15.75" customHeight="1">
      <c r="A148" s="22"/>
      <c r="J148" s="19"/>
      <c r="K148" s="20"/>
    </row>
    <row r="149" ht="15.75" customHeight="1">
      <c r="A149" s="22"/>
      <c r="J149" s="19"/>
      <c r="K149" s="20"/>
    </row>
    <row r="150" ht="15.75" customHeight="1">
      <c r="A150" s="22"/>
      <c r="J150" s="19"/>
      <c r="K150" s="20"/>
    </row>
    <row r="151" ht="15.75" customHeight="1">
      <c r="A151" s="22"/>
      <c r="J151" s="19"/>
      <c r="K151" s="20"/>
    </row>
    <row r="152" ht="15.75" customHeight="1">
      <c r="A152" s="22"/>
      <c r="J152" s="19"/>
      <c r="K152" s="20"/>
    </row>
    <row r="153" ht="15.75" customHeight="1">
      <c r="A153" s="22"/>
      <c r="J153" s="19"/>
      <c r="K153" s="20"/>
    </row>
    <row r="154" ht="15.75" customHeight="1">
      <c r="A154" s="22"/>
      <c r="J154" s="19"/>
      <c r="K154" s="20"/>
    </row>
    <row r="155" ht="15.75" customHeight="1">
      <c r="A155" s="22"/>
      <c r="J155" s="19"/>
      <c r="K155" s="20"/>
    </row>
    <row r="156" ht="15.75" customHeight="1">
      <c r="A156" s="22"/>
      <c r="J156" s="19"/>
      <c r="K156" s="20"/>
    </row>
    <row r="157" ht="15.75" customHeight="1">
      <c r="A157" s="22"/>
      <c r="J157" s="19"/>
      <c r="K157" s="20"/>
    </row>
    <row r="158" ht="15.75" customHeight="1">
      <c r="A158" s="22"/>
      <c r="J158" s="19"/>
      <c r="K158" s="20"/>
    </row>
    <row r="159" ht="15.75" customHeight="1">
      <c r="A159" s="22"/>
      <c r="J159" s="19"/>
      <c r="K159" s="20"/>
    </row>
    <row r="160" ht="15.75" customHeight="1">
      <c r="A160" s="22"/>
      <c r="J160" s="19"/>
      <c r="K160" s="20"/>
    </row>
    <row r="161" ht="15.75" customHeight="1">
      <c r="A161" s="22"/>
      <c r="J161" s="19"/>
      <c r="K161" s="20"/>
    </row>
    <row r="162" ht="15.75" customHeight="1">
      <c r="A162" s="22"/>
      <c r="J162" s="19"/>
      <c r="K162" s="20"/>
    </row>
    <row r="163" ht="15.75" customHeight="1">
      <c r="A163" s="22"/>
      <c r="J163" s="19"/>
      <c r="K163" s="20"/>
    </row>
    <row r="164" ht="15.75" customHeight="1">
      <c r="A164" s="22"/>
      <c r="J164" s="19"/>
      <c r="K164" s="20"/>
    </row>
    <row r="165" ht="15.75" customHeight="1">
      <c r="A165" s="22"/>
      <c r="J165" s="19"/>
      <c r="K165" s="20"/>
    </row>
    <row r="166" ht="15.75" customHeight="1">
      <c r="A166" s="22"/>
      <c r="J166" s="19"/>
      <c r="K166" s="20"/>
    </row>
    <row r="167" ht="15.75" customHeight="1">
      <c r="A167" s="22"/>
      <c r="J167" s="19"/>
      <c r="K167" s="20"/>
    </row>
    <row r="168" ht="15.75" customHeight="1">
      <c r="A168" s="22"/>
      <c r="J168" s="19"/>
      <c r="K168" s="20"/>
    </row>
    <row r="169" ht="15.75" customHeight="1">
      <c r="A169" s="22"/>
      <c r="J169" s="19"/>
      <c r="K169" s="20"/>
    </row>
    <row r="170" ht="15.75" customHeight="1">
      <c r="A170" s="22"/>
      <c r="J170" s="19"/>
      <c r="K170" s="20"/>
    </row>
    <row r="171" ht="15.75" customHeight="1">
      <c r="A171" s="22"/>
      <c r="J171" s="19"/>
      <c r="K171" s="20"/>
    </row>
    <row r="172" ht="15.75" customHeight="1">
      <c r="A172" s="22"/>
      <c r="J172" s="19"/>
      <c r="K172" s="20"/>
    </row>
    <row r="173" ht="15.75" customHeight="1">
      <c r="A173" s="22"/>
      <c r="J173" s="19"/>
      <c r="K173" s="20"/>
    </row>
    <row r="174" ht="15.75" customHeight="1">
      <c r="A174" s="22"/>
      <c r="J174" s="19"/>
      <c r="K174" s="20"/>
    </row>
    <row r="175" ht="15.75" customHeight="1">
      <c r="A175" s="22"/>
      <c r="J175" s="19"/>
      <c r="K175" s="20"/>
    </row>
    <row r="176" ht="15.75" customHeight="1">
      <c r="A176" s="22"/>
      <c r="J176" s="19"/>
      <c r="K176" s="20"/>
    </row>
    <row r="177" ht="15.75" customHeight="1">
      <c r="A177" s="22"/>
      <c r="J177" s="19"/>
      <c r="K177" s="20"/>
    </row>
    <row r="178" ht="15.75" customHeight="1">
      <c r="A178" s="22"/>
      <c r="J178" s="19"/>
      <c r="K178" s="20"/>
    </row>
    <row r="179" ht="15.75" customHeight="1">
      <c r="A179" s="22"/>
      <c r="J179" s="19"/>
      <c r="K179" s="20"/>
    </row>
    <row r="180" ht="15.75" customHeight="1">
      <c r="A180" s="22"/>
      <c r="J180" s="19"/>
      <c r="K180" s="20"/>
    </row>
    <row r="181" ht="15.75" customHeight="1">
      <c r="A181" s="22"/>
      <c r="J181" s="19"/>
      <c r="K181" s="20"/>
    </row>
    <row r="182" ht="15.75" customHeight="1">
      <c r="A182" s="22"/>
      <c r="J182" s="19"/>
      <c r="K182" s="20"/>
    </row>
    <row r="183" ht="15.75" customHeight="1">
      <c r="A183" s="22"/>
      <c r="J183" s="19"/>
      <c r="K183" s="20"/>
    </row>
    <row r="184" ht="15.75" customHeight="1">
      <c r="A184" s="22"/>
      <c r="J184" s="19"/>
      <c r="K184" s="20"/>
    </row>
    <row r="185" ht="15.75" customHeight="1">
      <c r="A185" s="22"/>
      <c r="J185" s="19"/>
      <c r="K185" s="20"/>
    </row>
    <row r="186" ht="15.75" customHeight="1">
      <c r="A186" s="22"/>
      <c r="J186" s="19"/>
      <c r="K186" s="20"/>
    </row>
    <row r="187" ht="15.75" customHeight="1">
      <c r="A187" s="22"/>
      <c r="J187" s="19"/>
      <c r="K187" s="20"/>
    </row>
    <row r="188" ht="15.75" customHeight="1">
      <c r="A188" s="22"/>
      <c r="J188" s="19"/>
      <c r="K188" s="20"/>
    </row>
    <row r="189" ht="15.75" customHeight="1">
      <c r="A189" s="22"/>
      <c r="J189" s="19"/>
      <c r="K189" s="20"/>
    </row>
    <row r="190" ht="15.75" customHeight="1">
      <c r="A190" s="22"/>
      <c r="J190" s="19"/>
      <c r="K190" s="20"/>
    </row>
    <row r="191" ht="15.75" customHeight="1">
      <c r="A191" s="22"/>
      <c r="J191" s="19"/>
      <c r="K191" s="20"/>
    </row>
    <row r="192" ht="15.75" customHeight="1">
      <c r="A192" s="22"/>
      <c r="J192" s="19"/>
      <c r="K192" s="20"/>
    </row>
    <row r="193" ht="15.75" customHeight="1">
      <c r="A193" s="22"/>
      <c r="J193" s="19"/>
      <c r="K193" s="20"/>
    </row>
    <row r="194" ht="15.75" customHeight="1">
      <c r="A194" s="22"/>
      <c r="J194" s="19"/>
      <c r="K194" s="20"/>
    </row>
    <row r="195" ht="15.75" customHeight="1">
      <c r="A195" s="22"/>
      <c r="J195" s="19"/>
      <c r="K195" s="20"/>
    </row>
    <row r="196" ht="15.75" customHeight="1">
      <c r="A196" s="22"/>
      <c r="J196" s="19"/>
      <c r="K196" s="20"/>
    </row>
    <row r="197" ht="15.75" customHeight="1">
      <c r="A197" s="22"/>
      <c r="J197" s="19"/>
      <c r="K197" s="20"/>
    </row>
    <row r="198" ht="15.75" customHeight="1">
      <c r="A198" s="22"/>
      <c r="J198" s="19"/>
      <c r="K198" s="20"/>
    </row>
    <row r="199" ht="15.75" customHeight="1">
      <c r="A199" s="22"/>
      <c r="J199" s="19"/>
      <c r="K199" s="20"/>
    </row>
    <row r="200" ht="15.75" customHeight="1">
      <c r="A200" s="22"/>
      <c r="J200" s="19"/>
      <c r="K200" s="20"/>
    </row>
    <row r="201" ht="15.75" customHeight="1">
      <c r="A201" s="22"/>
      <c r="J201" s="19"/>
      <c r="K201" s="20"/>
    </row>
    <row r="202" ht="15.75" customHeight="1">
      <c r="A202" s="22"/>
      <c r="J202" s="19"/>
      <c r="K202" s="20"/>
    </row>
    <row r="203" ht="15.75" customHeight="1">
      <c r="A203" s="22"/>
      <c r="J203" s="19"/>
      <c r="K203" s="20"/>
    </row>
    <row r="204" ht="15.75" customHeight="1">
      <c r="A204" s="22"/>
      <c r="J204" s="19"/>
      <c r="K204" s="20"/>
    </row>
    <row r="205" ht="15.75" customHeight="1">
      <c r="A205" s="22"/>
      <c r="J205" s="19"/>
      <c r="K205" s="20"/>
    </row>
    <row r="206" ht="15.75" customHeight="1">
      <c r="A206" s="22"/>
      <c r="J206" s="19"/>
      <c r="K206" s="20"/>
    </row>
    <row r="207" ht="15.75" customHeight="1">
      <c r="A207" s="22"/>
      <c r="J207" s="19"/>
      <c r="K207" s="20"/>
    </row>
    <row r="208" ht="15.75" customHeight="1">
      <c r="A208" s="22"/>
      <c r="J208" s="19"/>
      <c r="K208" s="20"/>
    </row>
    <row r="209" ht="15.75" customHeight="1">
      <c r="A209" s="22"/>
      <c r="J209" s="19"/>
      <c r="K209" s="20"/>
    </row>
    <row r="210" ht="15.75" customHeight="1">
      <c r="A210" s="22"/>
      <c r="J210" s="19"/>
      <c r="K210" s="20"/>
    </row>
    <row r="211" ht="15.75" customHeight="1">
      <c r="A211" s="22"/>
      <c r="J211" s="19"/>
      <c r="K211" s="20"/>
    </row>
    <row r="212" ht="15.75" customHeight="1">
      <c r="A212" s="22"/>
      <c r="J212" s="19"/>
      <c r="K212" s="20"/>
    </row>
    <row r="213" ht="15.75" customHeight="1">
      <c r="A213" s="22"/>
      <c r="J213" s="19"/>
      <c r="K213" s="20"/>
    </row>
    <row r="214" ht="15.75" customHeight="1">
      <c r="A214" s="22"/>
      <c r="J214" s="19"/>
      <c r="K214" s="20"/>
    </row>
    <row r="215" ht="15.75" customHeight="1">
      <c r="A215" s="22"/>
      <c r="J215" s="19"/>
      <c r="K215" s="20"/>
    </row>
    <row r="216" ht="15.75" customHeight="1">
      <c r="A216" s="22"/>
      <c r="J216" s="19"/>
      <c r="K216" s="20"/>
    </row>
    <row r="217" ht="15.75" customHeight="1">
      <c r="A217" s="22"/>
      <c r="J217" s="19"/>
      <c r="K217" s="20"/>
    </row>
    <row r="218" ht="15.75" customHeight="1">
      <c r="A218" s="22"/>
      <c r="J218" s="19"/>
      <c r="K218" s="20"/>
    </row>
    <row r="219" ht="15.75" customHeight="1">
      <c r="A219" s="22"/>
      <c r="J219" s="19"/>
      <c r="K219" s="20"/>
    </row>
    <row r="220" ht="15.75" customHeight="1">
      <c r="A220" s="22"/>
      <c r="J220" s="19"/>
      <c r="K220" s="20"/>
    </row>
    <row r="221" ht="15.75" customHeight="1">
      <c r="A221" s="22"/>
      <c r="J221" s="19"/>
      <c r="K221" s="20"/>
    </row>
    <row r="222" ht="15.75" customHeight="1">
      <c r="A222" s="22"/>
      <c r="J222" s="19"/>
      <c r="K222" s="20"/>
    </row>
    <row r="223" ht="15.75" customHeight="1">
      <c r="A223" s="22"/>
      <c r="J223" s="19"/>
      <c r="K223" s="20"/>
    </row>
    <row r="224" ht="15.75" customHeight="1">
      <c r="A224" s="22"/>
      <c r="J224" s="19"/>
      <c r="K224" s="20"/>
    </row>
    <row r="225" ht="15.75" customHeight="1">
      <c r="A225" s="22"/>
      <c r="J225" s="19"/>
      <c r="K225" s="20"/>
    </row>
    <row r="226" ht="15.75" customHeight="1">
      <c r="A226" s="22"/>
      <c r="J226" s="19"/>
      <c r="K226" s="20"/>
    </row>
    <row r="227" ht="15.75" customHeight="1">
      <c r="A227" s="22"/>
      <c r="J227" s="19"/>
      <c r="K227" s="20"/>
    </row>
    <row r="228" ht="15.75" customHeight="1">
      <c r="A228" s="22"/>
      <c r="J228" s="19"/>
      <c r="K228" s="20"/>
    </row>
    <row r="229" ht="15.75" customHeight="1">
      <c r="A229" s="22"/>
      <c r="J229" s="19"/>
      <c r="K229" s="20"/>
    </row>
    <row r="230" ht="15.75" customHeight="1">
      <c r="A230" s="22"/>
      <c r="J230" s="19"/>
      <c r="K230" s="20"/>
    </row>
    <row r="231" ht="15.75" customHeight="1">
      <c r="A231" s="22"/>
      <c r="J231" s="19"/>
      <c r="K231" s="20"/>
    </row>
    <row r="232" ht="15.75" customHeight="1">
      <c r="A232" s="22"/>
      <c r="J232" s="19"/>
      <c r="K232" s="20"/>
    </row>
    <row r="233" ht="15.75" customHeight="1">
      <c r="A233" s="22"/>
      <c r="J233" s="19"/>
      <c r="K233" s="20"/>
    </row>
    <row r="234" ht="15.75" customHeight="1">
      <c r="A234" s="22"/>
      <c r="J234" s="19"/>
      <c r="K234" s="20"/>
    </row>
    <row r="235" ht="15.75" customHeight="1">
      <c r="A235" s="22"/>
      <c r="J235" s="19"/>
      <c r="K235" s="20"/>
    </row>
    <row r="236" ht="15.75" customHeight="1">
      <c r="A236" s="22"/>
      <c r="J236" s="19"/>
      <c r="K236" s="20"/>
    </row>
    <row r="237" ht="15.75" customHeight="1">
      <c r="A237" s="22"/>
      <c r="J237" s="19"/>
      <c r="K237" s="20"/>
    </row>
    <row r="238" ht="15.75" customHeight="1">
      <c r="A238" s="22"/>
      <c r="J238" s="19"/>
      <c r="K238" s="20"/>
    </row>
    <row r="239" ht="15.75" customHeight="1">
      <c r="A239" s="22"/>
      <c r="J239" s="19"/>
      <c r="K239" s="20"/>
    </row>
    <row r="240" ht="15.75" customHeight="1">
      <c r="A240" s="22"/>
      <c r="J240" s="19"/>
      <c r="K240" s="20"/>
    </row>
    <row r="241" ht="15.75" customHeight="1">
      <c r="A241" s="22"/>
      <c r="J241" s="19"/>
      <c r="K241" s="20"/>
    </row>
    <row r="242" ht="15.75" customHeight="1">
      <c r="A242" s="22"/>
      <c r="J242" s="19"/>
      <c r="K242" s="20"/>
    </row>
    <row r="243" ht="15.75" customHeight="1">
      <c r="A243" s="22"/>
      <c r="J243" s="19"/>
      <c r="K243" s="20"/>
    </row>
    <row r="244" ht="15.75" customHeight="1">
      <c r="A244" s="23"/>
    </row>
    <row r="245" ht="15.75" customHeight="1">
      <c r="A245" s="23"/>
    </row>
    <row r="246" ht="15.75" customHeight="1">
      <c r="A246" s="23"/>
    </row>
    <row r="247" ht="15.75" customHeight="1">
      <c r="A247" s="23"/>
    </row>
    <row r="248" ht="15.75" customHeight="1">
      <c r="A248" s="23"/>
    </row>
    <row r="249" ht="15.75" customHeight="1">
      <c r="A249" s="23"/>
    </row>
    <row r="250" ht="15.75" customHeight="1">
      <c r="A250" s="23"/>
    </row>
    <row r="251" ht="15.75" customHeight="1">
      <c r="A251" s="23"/>
    </row>
    <row r="252" ht="15.75" customHeight="1">
      <c r="A252" s="23"/>
    </row>
    <row r="253" ht="15.75" customHeight="1">
      <c r="A253" s="23"/>
    </row>
    <row r="254" ht="15.75" customHeight="1">
      <c r="A254" s="23"/>
    </row>
    <row r="255" ht="15.75" customHeight="1">
      <c r="A255" s="23"/>
    </row>
    <row r="256" ht="15.75" customHeight="1">
      <c r="A256" s="23"/>
    </row>
    <row r="257" ht="15.75" customHeight="1">
      <c r="A257" s="23"/>
    </row>
    <row r="258" ht="15.75" customHeight="1">
      <c r="A258" s="23"/>
    </row>
    <row r="259" ht="15.75" customHeight="1">
      <c r="A259" s="23"/>
    </row>
    <row r="260" ht="15.75" customHeight="1">
      <c r="A260" s="23"/>
    </row>
    <row r="261" ht="15.75" customHeight="1">
      <c r="A261" s="23"/>
    </row>
    <row r="262" ht="15.75" customHeight="1">
      <c r="A262" s="23"/>
    </row>
    <row r="263" ht="15.75" customHeight="1">
      <c r="A263" s="23"/>
    </row>
    <row r="264" ht="15.75" customHeight="1">
      <c r="A264" s="23"/>
    </row>
    <row r="265" ht="15.75" customHeight="1">
      <c r="A265" s="23"/>
    </row>
    <row r="266" ht="15.75" customHeight="1">
      <c r="A266" s="23"/>
    </row>
    <row r="267" ht="15.75" customHeight="1">
      <c r="A267" s="23"/>
    </row>
    <row r="268" ht="15.75" customHeight="1">
      <c r="A268" s="23"/>
    </row>
    <row r="269" ht="15.75" customHeight="1">
      <c r="A269" s="23"/>
    </row>
    <row r="270" ht="15.75" customHeight="1">
      <c r="A270" s="23"/>
    </row>
    <row r="271" ht="15.75" customHeight="1">
      <c r="A271" s="23"/>
    </row>
    <row r="272" ht="15.75" customHeight="1">
      <c r="A272" s="23"/>
    </row>
    <row r="273" ht="15.75" customHeight="1">
      <c r="A273" s="23"/>
    </row>
    <row r="274" ht="15.75" customHeight="1">
      <c r="A274" s="23"/>
    </row>
    <row r="275" ht="15.75" customHeight="1">
      <c r="A275" s="23"/>
    </row>
    <row r="276" ht="15.75" customHeight="1">
      <c r="A276" s="23"/>
    </row>
    <row r="277" ht="15.75" customHeight="1">
      <c r="A277" s="23"/>
    </row>
    <row r="278" ht="15.75" customHeight="1">
      <c r="A278" s="23"/>
    </row>
    <row r="279" ht="15.75" customHeight="1">
      <c r="A279" s="23"/>
    </row>
    <row r="280" ht="15.75" customHeight="1">
      <c r="A280" s="23"/>
    </row>
    <row r="281" ht="15.75" customHeight="1">
      <c r="A281" s="23"/>
    </row>
    <row r="282" ht="15.75" customHeight="1">
      <c r="A282" s="23"/>
    </row>
    <row r="283" ht="15.75" customHeight="1">
      <c r="A283" s="23"/>
    </row>
    <row r="284" ht="15.75" customHeight="1">
      <c r="A284" s="23"/>
    </row>
    <row r="285" ht="15.75" customHeight="1">
      <c r="A285" s="23"/>
    </row>
    <row r="286" ht="15.75" customHeight="1">
      <c r="A286" s="23"/>
    </row>
    <row r="287" ht="15.75" customHeight="1">
      <c r="A287" s="23"/>
    </row>
    <row r="288" ht="15.75" customHeight="1">
      <c r="A288" s="23"/>
    </row>
    <row r="289" ht="15.75" customHeight="1">
      <c r="A289" s="23"/>
    </row>
    <row r="290" ht="15.75" customHeight="1">
      <c r="A290" s="23"/>
    </row>
    <row r="291" ht="15.75" customHeight="1">
      <c r="A291" s="23"/>
    </row>
    <row r="292" ht="15.75" customHeight="1">
      <c r="A292" s="23"/>
    </row>
    <row r="293" ht="15.75" customHeight="1">
      <c r="A293" s="23"/>
    </row>
    <row r="294" ht="15.75" customHeight="1">
      <c r="A294" s="23"/>
    </row>
    <row r="295" ht="15.75" customHeight="1">
      <c r="A295" s="23"/>
    </row>
    <row r="296" ht="15.75" customHeight="1">
      <c r="A296" s="23"/>
    </row>
    <row r="297" ht="15.75" customHeight="1">
      <c r="A297" s="23"/>
    </row>
    <row r="298" ht="15.75" customHeight="1">
      <c r="A298" s="23"/>
    </row>
    <row r="299" ht="15.75" customHeight="1">
      <c r="A299" s="23"/>
    </row>
    <row r="300" ht="15.75" customHeight="1">
      <c r="A300" s="23"/>
    </row>
    <row r="301" ht="15.75" customHeight="1">
      <c r="A301" s="23"/>
    </row>
    <row r="302" ht="15.75" customHeight="1">
      <c r="A302" s="23"/>
    </row>
    <row r="303" ht="15.75" customHeight="1">
      <c r="A303" s="23"/>
    </row>
    <row r="304" ht="15.75" customHeight="1">
      <c r="A304" s="23"/>
    </row>
    <row r="305" ht="15.75" customHeight="1">
      <c r="A305" s="23"/>
    </row>
    <row r="306" ht="15.75" customHeight="1">
      <c r="A306" s="23"/>
    </row>
    <row r="307" ht="15.75" customHeight="1">
      <c r="A307" s="23"/>
    </row>
    <row r="308" ht="15.75" customHeight="1">
      <c r="A308" s="23"/>
    </row>
    <row r="309" ht="15.75" customHeight="1">
      <c r="A309" s="23"/>
    </row>
    <row r="310" ht="15.75" customHeight="1">
      <c r="A310" s="23"/>
    </row>
    <row r="311" ht="15.75" customHeight="1">
      <c r="A311" s="23"/>
    </row>
    <row r="312" ht="15.75" customHeight="1">
      <c r="A312" s="23"/>
    </row>
    <row r="313" ht="15.75" customHeight="1">
      <c r="A313" s="23"/>
    </row>
    <row r="314" ht="15.75" customHeight="1">
      <c r="A314" s="23"/>
    </row>
    <row r="315" ht="15.75" customHeight="1">
      <c r="A315" s="23"/>
    </row>
    <row r="316" ht="15.75" customHeight="1">
      <c r="A316" s="23"/>
    </row>
    <row r="317" ht="15.75" customHeight="1">
      <c r="A317" s="23"/>
    </row>
    <row r="318" ht="15.75" customHeight="1">
      <c r="A318" s="23"/>
    </row>
    <row r="319" ht="15.75" customHeight="1">
      <c r="A319" s="23"/>
    </row>
    <row r="320" ht="15.75" customHeight="1">
      <c r="A320" s="23"/>
    </row>
    <row r="321" ht="15.75" customHeight="1">
      <c r="A321" s="23"/>
    </row>
    <row r="322" ht="15.75" customHeight="1">
      <c r="A322" s="23"/>
    </row>
    <row r="323" ht="15.75" customHeight="1">
      <c r="A323" s="23"/>
    </row>
    <row r="324" ht="15.75" customHeight="1">
      <c r="A324" s="23"/>
    </row>
    <row r="325" ht="15.75" customHeight="1">
      <c r="A325" s="23"/>
    </row>
    <row r="326" ht="15.75" customHeight="1">
      <c r="A326" s="23"/>
    </row>
    <row r="327" ht="15.75" customHeight="1">
      <c r="A327" s="23"/>
    </row>
    <row r="328" ht="15.75" customHeight="1">
      <c r="A328" s="23"/>
    </row>
    <row r="329" ht="15.75" customHeight="1">
      <c r="A329" s="23"/>
    </row>
    <row r="330" ht="15.75" customHeight="1">
      <c r="A330" s="23"/>
    </row>
    <row r="331" ht="15.75" customHeight="1">
      <c r="A331" s="23"/>
    </row>
    <row r="332" ht="15.75" customHeight="1">
      <c r="A332" s="23"/>
    </row>
    <row r="333" ht="15.75" customHeight="1">
      <c r="A333" s="23"/>
    </row>
    <row r="334" ht="15.75" customHeight="1">
      <c r="A334" s="23"/>
    </row>
    <row r="335" ht="15.75" customHeight="1">
      <c r="A335" s="23"/>
    </row>
    <row r="336" ht="15.75" customHeight="1">
      <c r="A336" s="23"/>
    </row>
    <row r="337" ht="15.75" customHeight="1">
      <c r="A337" s="23"/>
    </row>
    <row r="338" ht="15.75" customHeight="1">
      <c r="A338" s="23"/>
    </row>
    <row r="339" ht="15.75" customHeight="1">
      <c r="A339" s="23"/>
    </row>
    <row r="340" ht="15.75" customHeight="1">
      <c r="A340" s="23"/>
    </row>
    <row r="341" ht="15.75" customHeight="1">
      <c r="A341" s="23"/>
    </row>
    <row r="342" ht="15.75" customHeight="1">
      <c r="A342" s="23"/>
    </row>
    <row r="343" ht="15.75" customHeight="1">
      <c r="A343" s="23"/>
    </row>
    <row r="344" ht="15.75" customHeight="1">
      <c r="A344" s="23"/>
    </row>
    <row r="345" ht="15.75" customHeight="1">
      <c r="A345" s="23"/>
    </row>
    <row r="346" ht="15.75" customHeight="1">
      <c r="A346" s="23"/>
    </row>
    <row r="347" ht="15.75" customHeight="1">
      <c r="A347" s="23"/>
    </row>
    <row r="348" ht="15.75" customHeight="1">
      <c r="A348" s="23"/>
    </row>
    <row r="349" ht="15.75" customHeight="1">
      <c r="A349" s="23"/>
    </row>
    <row r="350" ht="15.75" customHeight="1">
      <c r="A350" s="23"/>
    </row>
    <row r="351" ht="15.75" customHeight="1">
      <c r="A351" s="23"/>
    </row>
    <row r="352" ht="15.75" customHeight="1">
      <c r="A352" s="23"/>
    </row>
    <row r="353" ht="15.75" customHeight="1">
      <c r="A353" s="23"/>
    </row>
    <row r="354" ht="15.75" customHeight="1">
      <c r="A354" s="23"/>
    </row>
    <row r="355" ht="15.75" customHeight="1">
      <c r="A355" s="23"/>
    </row>
    <row r="356" ht="15.75" customHeight="1">
      <c r="A356" s="23"/>
    </row>
    <row r="357" ht="15.75" customHeight="1">
      <c r="A357" s="23"/>
    </row>
    <row r="358" ht="15.75" customHeight="1">
      <c r="A358" s="23"/>
    </row>
    <row r="359" ht="15.75" customHeight="1">
      <c r="A359" s="23"/>
    </row>
    <row r="360" ht="15.75" customHeight="1">
      <c r="A360" s="23"/>
    </row>
    <row r="361" ht="15.75" customHeight="1">
      <c r="A361" s="23"/>
    </row>
    <row r="362" ht="15.75" customHeight="1">
      <c r="A362" s="23"/>
    </row>
    <row r="363" ht="15.75" customHeight="1">
      <c r="A363" s="23"/>
    </row>
    <row r="364" ht="15.75" customHeight="1">
      <c r="A364" s="23"/>
    </row>
    <row r="365" ht="15.75" customHeight="1">
      <c r="A365" s="23"/>
    </row>
    <row r="366" ht="15.75" customHeight="1">
      <c r="A366" s="23"/>
    </row>
    <row r="367" ht="15.75" customHeight="1">
      <c r="A367" s="23"/>
    </row>
    <row r="368" ht="15.75" customHeight="1">
      <c r="A368" s="23"/>
    </row>
    <row r="369" ht="15.75" customHeight="1">
      <c r="A369" s="23"/>
    </row>
    <row r="370" ht="15.75" customHeight="1">
      <c r="A370" s="23"/>
    </row>
    <row r="371" ht="15.75" customHeight="1">
      <c r="A371" s="23"/>
    </row>
    <row r="372" ht="15.75" customHeight="1">
      <c r="A372" s="23"/>
    </row>
    <row r="373" ht="15.75" customHeight="1">
      <c r="A373" s="23"/>
    </row>
    <row r="374" ht="15.75" customHeight="1">
      <c r="A374" s="23"/>
    </row>
    <row r="375" ht="15.75" customHeight="1">
      <c r="A375" s="23"/>
    </row>
    <row r="376" ht="15.75" customHeight="1">
      <c r="A376" s="23"/>
    </row>
    <row r="377" ht="15.75" customHeight="1">
      <c r="A377" s="23"/>
    </row>
    <row r="378" ht="15.75" customHeight="1">
      <c r="A378" s="23"/>
    </row>
    <row r="379" ht="15.75" customHeight="1">
      <c r="A379" s="23"/>
    </row>
    <row r="380" ht="15.75" customHeight="1">
      <c r="A380" s="23"/>
    </row>
    <row r="381" ht="15.75" customHeight="1">
      <c r="A381" s="23"/>
    </row>
    <row r="382" ht="15.75" customHeight="1">
      <c r="A382" s="23"/>
    </row>
    <row r="383" ht="15.75" customHeight="1">
      <c r="A383" s="23"/>
    </row>
    <row r="384" ht="15.75" customHeight="1">
      <c r="A384" s="23"/>
    </row>
    <row r="385" ht="15.75" customHeight="1">
      <c r="A385" s="23"/>
    </row>
    <row r="386" ht="15.75" customHeight="1">
      <c r="A386" s="23"/>
    </row>
    <row r="387" ht="15.75" customHeight="1">
      <c r="A387" s="23"/>
    </row>
    <row r="388" ht="15.75" customHeight="1">
      <c r="A388" s="23"/>
    </row>
    <row r="389" ht="15.75" customHeight="1">
      <c r="A389" s="23"/>
    </row>
    <row r="390" ht="15.75" customHeight="1">
      <c r="A390" s="23"/>
    </row>
    <row r="391" ht="15.75" customHeight="1">
      <c r="A391" s="23"/>
    </row>
    <row r="392" ht="15.75" customHeight="1">
      <c r="A392" s="23"/>
    </row>
    <row r="393" ht="15.75" customHeight="1">
      <c r="A393" s="23"/>
    </row>
    <row r="394" ht="15.75" customHeight="1">
      <c r="A394" s="23"/>
    </row>
    <row r="395" ht="15.75" customHeight="1">
      <c r="A395" s="23"/>
    </row>
    <row r="396" ht="15.75" customHeight="1">
      <c r="A396" s="23"/>
    </row>
    <row r="397" ht="15.75" customHeight="1">
      <c r="A397" s="23"/>
    </row>
    <row r="398" ht="15.75" customHeight="1">
      <c r="A398" s="23"/>
    </row>
    <row r="399" ht="15.75" customHeight="1">
      <c r="A399" s="23"/>
    </row>
    <row r="400" ht="15.75" customHeight="1">
      <c r="A400" s="23"/>
    </row>
    <row r="401" ht="15.75" customHeight="1">
      <c r="A401" s="23"/>
    </row>
    <row r="402" ht="15.75" customHeight="1">
      <c r="A402" s="23"/>
    </row>
    <row r="403" ht="15.75" customHeight="1">
      <c r="A403" s="23"/>
    </row>
    <row r="404" ht="15.75" customHeight="1">
      <c r="A404" s="23"/>
    </row>
    <row r="405" ht="15.75" customHeight="1">
      <c r="A405" s="23"/>
    </row>
    <row r="406" ht="15.75" customHeight="1">
      <c r="A406" s="23"/>
    </row>
    <row r="407" ht="15.75" customHeight="1">
      <c r="A407" s="23"/>
    </row>
    <row r="408" ht="15.75" customHeight="1">
      <c r="A408" s="23"/>
    </row>
    <row r="409" ht="15.75" customHeight="1">
      <c r="A409" s="23"/>
    </row>
    <row r="410" ht="15.75" customHeight="1">
      <c r="A410" s="23"/>
    </row>
    <row r="411" ht="15.75" customHeight="1">
      <c r="A411" s="23"/>
    </row>
    <row r="412" ht="15.75" customHeight="1">
      <c r="A412" s="23"/>
    </row>
    <row r="413" ht="15.75" customHeight="1">
      <c r="A413" s="23"/>
    </row>
    <row r="414" ht="15.75" customHeight="1">
      <c r="A414" s="23"/>
    </row>
    <row r="415" ht="15.75" customHeight="1">
      <c r="A415" s="23"/>
    </row>
    <row r="416" ht="15.75" customHeight="1">
      <c r="A416" s="23"/>
    </row>
    <row r="417" ht="15.75" customHeight="1">
      <c r="A417" s="23"/>
    </row>
    <row r="418" ht="15.75" customHeight="1">
      <c r="A418" s="23"/>
    </row>
    <row r="419" ht="15.75" customHeight="1">
      <c r="A419" s="23"/>
    </row>
    <row r="420" ht="15.75" customHeight="1">
      <c r="A420" s="23"/>
    </row>
    <row r="421" ht="15.75" customHeight="1">
      <c r="A421" s="23"/>
    </row>
    <row r="422" ht="15.75" customHeight="1">
      <c r="A422" s="23"/>
    </row>
    <row r="423" ht="15.75" customHeight="1">
      <c r="A423" s="23"/>
    </row>
    <row r="424" ht="15.75" customHeight="1">
      <c r="A424" s="23"/>
    </row>
    <row r="425" ht="15.75" customHeight="1">
      <c r="A425" s="23"/>
    </row>
    <row r="426" ht="15.75" customHeight="1">
      <c r="A426" s="23"/>
    </row>
    <row r="427" ht="15.75" customHeight="1">
      <c r="A427" s="23"/>
    </row>
    <row r="428" ht="15.75" customHeight="1">
      <c r="A428" s="23"/>
    </row>
    <row r="429" ht="15.75" customHeight="1">
      <c r="A429" s="23"/>
    </row>
    <row r="430" ht="15.75" customHeight="1">
      <c r="A430" s="23"/>
    </row>
    <row r="431" ht="15.75" customHeight="1">
      <c r="A431" s="23"/>
    </row>
    <row r="432" ht="15.75" customHeight="1">
      <c r="A432" s="23"/>
    </row>
    <row r="433" ht="15.75" customHeight="1">
      <c r="A433" s="23"/>
    </row>
    <row r="434" ht="15.75" customHeight="1">
      <c r="A434" s="23"/>
    </row>
    <row r="435" ht="15.75" customHeight="1">
      <c r="A435" s="23"/>
    </row>
    <row r="436" ht="15.75" customHeight="1">
      <c r="A436" s="23"/>
    </row>
    <row r="437" ht="15.75" customHeight="1">
      <c r="A437" s="23"/>
    </row>
    <row r="438" ht="15.75" customHeight="1">
      <c r="A438" s="23"/>
    </row>
    <row r="439" ht="15.75" customHeight="1">
      <c r="A439" s="23"/>
    </row>
    <row r="440" ht="15.75" customHeight="1">
      <c r="A440" s="23"/>
    </row>
    <row r="441" ht="15.75" customHeight="1">
      <c r="A441" s="23"/>
    </row>
    <row r="442" ht="15.75" customHeight="1">
      <c r="A442" s="23"/>
    </row>
    <row r="443" ht="15.75" customHeight="1">
      <c r="A443" s="23"/>
    </row>
    <row r="444" ht="15.75" customHeight="1">
      <c r="A444" s="23"/>
    </row>
    <row r="445" ht="15.75" customHeight="1">
      <c r="A445" s="23"/>
    </row>
    <row r="446" ht="15.75" customHeight="1">
      <c r="A446" s="23"/>
    </row>
    <row r="447" ht="15.75" customHeight="1">
      <c r="A447" s="23"/>
    </row>
    <row r="448" ht="15.75" customHeight="1">
      <c r="A448" s="23"/>
    </row>
    <row r="449" ht="15.75" customHeight="1">
      <c r="A449" s="23"/>
    </row>
    <row r="450" ht="15.75" customHeight="1">
      <c r="A450" s="23"/>
    </row>
    <row r="451" ht="15.75" customHeight="1">
      <c r="A451" s="23"/>
    </row>
    <row r="452" ht="15.75" customHeight="1">
      <c r="A452" s="23"/>
    </row>
    <row r="453" ht="15.75" customHeight="1">
      <c r="A453" s="23"/>
    </row>
    <row r="454" ht="15.75" customHeight="1">
      <c r="A454" s="23"/>
    </row>
    <row r="455" ht="15.75" customHeight="1">
      <c r="A455" s="23"/>
    </row>
    <row r="456" ht="15.75" customHeight="1">
      <c r="A456" s="23"/>
    </row>
    <row r="457" ht="15.75" customHeight="1">
      <c r="A457" s="23"/>
    </row>
    <row r="458" ht="15.75" customHeight="1">
      <c r="A458" s="23"/>
    </row>
    <row r="459" ht="15.75" customHeight="1">
      <c r="A459" s="23"/>
    </row>
    <row r="460" ht="15.75" customHeight="1">
      <c r="A460" s="23"/>
    </row>
    <row r="461" ht="15.75" customHeight="1">
      <c r="A461" s="23"/>
    </row>
    <row r="462" ht="15.75" customHeight="1">
      <c r="A462" s="23"/>
    </row>
    <row r="463" ht="15.75" customHeight="1">
      <c r="A463" s="23"/>
    </row>
    <row r="464" ht="15.75" customHeight="1">
      <c r="A464" s="23"/>
    </row>
    <row r="465" ht="15.75" customHeight="1">
      <c r="A465" s="23"/>
    </row>
    <row r="466" ht="15.75" customHeight="1">
      <c r="A466" s="23"/>
    </row>
    <row r="467" ht="15.75" customHeight="1">
      <c r="A467" s="23"/>
    </row>
    <row r="468" ht="15.75" customHeight="1">
      <c r="A468" s="23"/>
    </row>
    <row r="469" ht="15.75" customHeight="1">
      <c r="A469" s="23"/>
    </row>
    <row r="470" ht="15.75" customHeight="1">
      <c r="A470" s="23"/>
    </row>
    <row r="471" ht="15.75" customHeight="1">
      <c r="A471" s="23"/>
    </row>
    <row r="472" ht="15.75" customHeight="1">
      <c r="A472" s="23"/>
    </row>
    <row r="473" ht="15.75" customHeight="1">
      <c r="A473" s="23"/>
    </row>
    <row r="474" ht="15.75" customHeight="1">
      <c r="A474" s="23"/>
    </row>
    <row r="475" ht="15.75" customHeight="1">
      <c r="A475" s="23"/>
    </row>
    <row r="476" ht="15.75" customHeight="1">
      <c r="A476" s="23"/>
    </row>
    <row r="477" ht="15.75" customHeight="1">
      <c r="A477" s="23"/>
    </row>
    <row r="478" ht="15.75" customHeight="1">
      <c r="A478" s="23"/>
    </row>
    <row r="479" ht="15.75" customHeight="1">
      <c r="A479" s="23"/>
    </row>
    <row r="480" ht="15.75" customHeight="1">
      <c r="A480" s="23"/>
    </row>
    <row r="481" ht="15.75" customHeight="1">
      <c r="A481" s="23"/>
    </row>
    <row r="482" ht="15.75" customHeight="1">
      <c r="A482" s="23"/>
    </row>
    <row r="483" ht="15.75" customHeight="1">
      <c r="A483" s="23"/>
    </row>
    <row r="484" ht="15.75" customHeight="1">
      <c r="A484" s="23"/>
    </row>
    <row r="485" ht="15.75" customHeight="1">
      <c r="A485" s="23"/>
    </row>
    <row r="486" ht="15.75" customHeight="1">
      <c r="A486" s="23"/>
    </row>
    <row r="487" ht="15.75" customHeight="1">
      <c r="A487" s="23"/>
    </row>
    <row r="488" ht="15.75" customHeight="1">
      <c r="A488" s="23"/>
    </row>
    <row r="489" ht="15.75" customHeight="1">
      <c r="A489" s="23"/>
    </row>
    <row r="490" ht="15.75" customHeight="1">
      <c r="A490" s="23"/>
    </row>
    <row r="491" ht="15.75" customHeight="1">
      <c r="A491" s="23"/>
    </row>
    <row r="492" ht="15.75" customHeight="1">
      <c r="A492" s="23"/>
    </row>
    <row r="493" ht="15.75" customHeight="1">
      <c r="A493" s="23"/>
    </row>
    <row r="494" ht="15.75" customHeight="1">
      <c r="A494" s="23"/>
    </row>
    <row r="495" ht="15.75" customHeight="1">
      <c r="A495" s="23"/>
    </row>
    <row r="496" ht="15.75" customHeight="1">
      <c r="A496" s="23"/>
    </row>
    <row r="497" ht="15.75" customHeight="1">
      <c r="A497" s="23"/>
    </row>
    <row r="498" ht="15.75" customHeight="1">
      <c r="A498" s="23"/>
    </row>
    <row r="499" ht="15.75" customHeight="1">
      <c r="A499" s="23"/>
    </row>
    <row r="500" ht="15.75" customHeight="1">
      <c r="A500" s="23"/>
    </row>
    <row r="501" ht="15.75" customHeight="1">
      <c r="A501" s="23"/>
    </row>
    <row r="502" ht="15.75" customHeight="1">
      <c r="A502" s="23"/>
    </row>
    <row r="503" ht="15.75" customHeight="1">
      <c r="A503" s="23"/>
    </row>
    <row r="504" ht="15.75" customHeight="1">
      <c r="A504" s="23"/>
    </row>
    <row r="505" ht="15.75" customHeight="1">
      <c r="A505" s="23"/>
    </row>
    <row r="506" ht="15.75" customHeight="1">
      <c r="A506" s="23"/>
    </row>
    <row r="507" ht="15.75" customHeight="1">
      <c r="A507" s="23"/>
    </row>
    <row r="508" ht="15.75" customHeight="1">
      <c r="A508" s="23"/>
    </row>
    <row r="509" ht="15.75" customHeight="1">
      <c r="A509" s="23"/>
    </row>
    <row r="510" ht="15.75" customHeight="1">
      <c r="A510" s="23"/>
    </row>
    <row r="511" ht="15.75" customHeight="1">
      <c r="A511" s="23"/>
    </row>
    <row r="512" ht="15.75" customHeight="1">
      <c r="A512" s="23"/>
    </row>
    <row r="513" ht="15.75" customHeight="1">
      <c r="A513" s="23"/>
    </row>
    <row r="514" ht="15.75" customHeight="1">
      <c r="A514" s="23"/>
    </row>
    <row r="515" ht="15.75" customHeight="1">
      <c r="A515" s="23"/>
    </row>
    <row r="516" ht="15.75" customHeight="1">
      <c r="A516" s="23"/>
    </row>
    <row r="517" ht="15.75" customHeight="1">
      <c r="A517" s="23"/>
    </row>
    <row r="518" ht="15.75" customHeight="1">
      <c r="A518" s="23"/>
    </row>
    <row r="519" ht="15.75" customHeight="1">
      <c r="A519" s="23"/>
    </row>
    <row r="520" ht="15.75" customHeight="1">
      <c r="A520" s="23"/>
    </row>
    <row r="521" ht="15.75" customHeight="1">
      <c r="A521" s="23"/>
    </row>
    <row r="522" ht="15.75" customHeight="1">
      <c r="A522" s="23"/>
    </row>
    <row r="523" ht="15.75" customHeight="1">
      <c r="A523" s="23"/>
    </row>
    <row r="524" ht="15.75" customHeight="1">
      <c r="A524" s="23"/>
    </row>
    <row r="525" ht="15.75" customHeight="1">
      <c r="A525" s="23"/>
    </row>
    <row r="526" ht="15.75" customHeight="1">
      <c r="A526" s="23"/>
    </row>
    <row r="527" ht="15.75" customHeight="1">
      <c r="A527" s="23"/>
    </row>
    <row r="528" ht="15.75" customHeight="1">
      <c r="A528" s="23"/>
    </row>
    <row r="529" ht="15.75" customHeight="1">
      <c r="A529" s="23"/>
    </row>
    <row r="530" ht="15.75" customHeight="1">
      <c r="A530" s="23"/>
    </row>
    <row r="531" ht="15.75" customHeight="1">
      <c r="A531" s="23"/>
    </row>
    <row r="532" ht="15.75" customHeight="1">
      <c r="A532" s="23"/>
    </row>
    <row r="533" ht="15.75" customHeight="1">
      <c r="A533" s="23"/>
    </row>
    <row r="534" ht="15.75" customHeight="1">
      <c r="A534" s="23"/>
    </row>
    <row r="535" ht="15.75" customHeight="1">
      <c r="A535" s="23"/>
    </row>
    <row r="536" ht="15.75" customHeight="1">
      <c r="A536" s="23"/>
    </row>
    <row r="537" ht="15.75" customHeight="1">
      <c r="A537" s="23"/>
    </row>
    <row r="538" ht="15.75" customHeight="1">
      <c r="A538" s="23"/>
    </row>
    <row r="539" ht="15.75" customHeight="1">
      <c r="A539" s="23"/>
    </row>
    <row r="540" ht="15.75" customHeight="1">
      <c r="A540" s="23"/>
    </row>
    <row r="541" ht="15.75" customHeight="1">
      <c r="A541" s="23"/>
    </row>
    <row r="542" ht="15.75" customHeight="1">
      <c r="A542" s="23"/>
    </row>
    <row r="543" ht="15.75" customHeight="1">
      <c r="A543" s="23"/>
    </row>
    <row r="544" ht="15.75" customHeight="1">
      <c r="A544" s="23"/>
    </row>
    <row r="545" ht="15.75" customHeight="1">
      <c r="A545" s="23"/>
    </row>
    <row r="546" ht="15.75" customHeight="1">
      <c r="A546" s="23"/>
    </row>
    <row r="547" ht="15.75" customHeight="1">
      <c r="A547" s="23"/>
    </row>
    <row r="548" ht="15.75" customHeight="1">
      <c r="A548" s="23"/>
    </row>
    <row r="549" ht="15.75" customHeight="1">
      <c r="A549" s="23"/>
    </row>
    <row r="550" ht="15.75" customHeight="1">
      <c r="A550" s="23"/>
    </row>
    <row r="551" ht="15.75" customHeight="1">
      <c r="A551" s="23"/>
    </row>
    <row r="552" ht="15.75" customHeight="1">
      <c r="A552" s="23"/>
    </row>
    <row r="553" ht="15.75" customHeight="1">
      <c r="A553" s="23"/>
    </row>
    <row r="554" ht="15.75" customHeight="1">
      <c r="A554" s="23"/>
    </row>
    <row r="555" ht="15.75" customHeight="1">
      <c r="A555" s="23"/>
    </row>
    <row r="556" ht="15.75" customHeight="1">
      <c r="A556" s="23"/>
    </row>
    <row r="557" ht="15.75" customHeight="1">
      <c r="A557" s="23"/>
    </row>
    <row r="558" ht="15.75" customHeight="1">
      <c r="A558" s="23"/>
    </row>
    <row r="559" ht="15.75" customHeight="1">
      <c r="A559" s="23"/>
    </row>
    <row r="560" ht="15.75" customHeight="1">
      <c r="A560" s="23"/>
    </row>
    <row r="561" ht="15.75" customHeight="1">
      <c r="A561" s="23"/>
    </row>
    <row r="562" ht="15.75" customHeight="1">
      <c r="A562" s="23"/>
    </row>
    <row r="563" ht="15.75" customHeight="1">
      <c r="A563" s="23"/>
    </row>
    <row r="564" ht="15.75" customHeight="1">
      <c r="A564" s="23"/>
    </row>
    <row r="565" ht="15.75" customHeight="1">
      <c r="A565" s="23"/>
    </row>
    <row r="566" ht="15.75" customHeight="1">
      <c r="A566" s="23"/>
    </row>
    <row r="567" ht="15.75" customHeight="1">
      <c r="A567" s="23"/>
    </row>
    <row r="568" ht="15.75" customHeight="1">
      <c r="A568" s="23"/>
    </row>
    <row r="569" ht="15.75" customHeight="1">
      <c r="A569" s="23"/>
    </row>
    <row r="570" ht="15.75" customHeight="1">
      <c r="A570" s="23"/>
    </row>
    <row r="571" ht="15.75" customHeight="1">
      <c r="A571" s="23"/>
    </row>
    <row r="572" ht="15.75" customHeight="1">
      <c r="A572" s="23"/>
    </row>
    <row r="573" ht="15.75" customHeight="1">
      <c r="A573" s="23"/>
    </row>
    <row r="574" ht="15.75" customHeight="1">
      <c r="A574" s="23"/>
    </row>
    <row r="575" ht="15.75" customHeight="1">
      <c r="A575" s="23"/>
    </row>
    <row r="576" ht="15.75" customHeight="1">
      <c r="A576" s="23"/>
    </row>
    <row r="577" ht="15.75" customHeight="1">
      <c r="A577" s="23"/>
    </row>
    <row r="578" ht="15.75" customHeight="1">
      <c r="A578" s="23"/>
    </row>
    <row r="579" ht="15.75" customHeight="1">
      <c r="A579" s="23"/>
    </row>
    <row r="580" ht="15.75" customHeight="1">
      <c r="A580" s="23"/>
    </row>
    <row r="581" ht="15.75" customHeight="1">
      <c r="A581" s="23"/>
    </row>
    <row r="582" ht="15.75" customHeight="1">
      <c r="A582" s="23"/>
    </row>
    <row r="583" ht="15.75" customHeight="1">
      <c r="A583" s="23"/>
    </row>
    <row r="584" ht="15.75" customHeight="1">
      <c r="A584" s="23"/>
    </row>
    <row r="585" ht="15.75" customHeight="1">
      <c r="A585" s="23"/>
    </row>
    <row r="586" ht="15.75" customHeight="1">
      <c r="A586" s="23"/>
    </row>
    <row r="587" ht="15.75" customHeight="1">
      <c r="A587" s="23"/>
    </row>
    <row r="588" ht="15.75" customHeight="1">
      <c r="A588" s="23"/>
    </row>
    <row r="589" ht="15.75" customHeight="1">
      <c r="A589" s="23"/>
    </row>
    <row r="590" ht="15.75" customHeight="1">
      <c r="A590" s="23"/>
    </row>
    <row r="591" ht="15.75" customHeight="1">
      <c r="A591" s="23"/>
    </row>
    <row r="592" ht="15.75" customHeight="1">
      <c r="A592" s="23"/>
    </row>
    <row r="593" ht="15.75" customHeight="1">
      <c r="A593" s="23"/>
    </row>
    <row r="594" ht="15.75" customHeight="1">
      <c r="A594" s="23"/>
    </row>
    <row r="595" ht="15.75" customHeight="1">
      <c r="A595" s="23"/>
    </row>
    <row r="596" ht="15.75" customHeight="1">
      <c r="A596" s="23"/>
    </row>
    <row r="597" ht="15.75" customHeight="1">
      <c r="A597" s="23"/>
    </row>
    <row r="598" ht="15.75" customHeight="1">
      <c r="A598" s="23"/>
    </row>
    <row r="599" ht="15.75" customHeight="1">
      <c r="A599" s="23"/>
    </row>
    <row r="600" ht="15.75" customHeight="1">
      <c r="A600" s="23"/>
    </row>
    <row r="601" ht="15.75" customHeight="1">
      <c r="A601" s="23"/>
    </row>
    <row r="602" ht="15.75" customHeight="1">
      <c r="A602" s="23"/>
    </row>
    <row r="603" ht="15.75" customHeight="1">
      <c r="A603" s="23"/>
    </row>
    <row r="604" ht="15.75" customHeight="1">
      <c r="A604" s="23"/>
    </row>
    <row r="605" ht="15.75" customHeight="1">
      <c r="A605" s="23"/>
    </row>
    <row r="606" ht="15.75" customHeight="1">
      <c r="A606" s="23"/>
    </row>
    <row r="607" ht="15.75" customHeight="1">
      <c r="A607" s="23"/>
    </row>
    <row r="608" ht="15.75" customHeight="1">
      <c r="A608" s="23"/>
    </row>
    <row r="609" ht="15.75" customHeight="1">
      <c r="A609" s="23"/>
    </row>
    <row r="610" ht="15.75" customHeight="1">
      <c r="A610" s="23"/>
    </row>
    <row r="611" ht="15.75" customHeight="1">
      <c r="A611" s="23"/>
    </row>
    <row r="612" ht="15.75" customHeight="1">
      <c r="A612" s="23"/>
    </row>
    <row r="613" ht="15.75" customHeight="1">
      <c r="A613" s="23"/>
    </row>
    <row r="614" ht="15.75" customHeight="1">
      <c r="A614" s="23"/>
    </row>
    <row r="615" ht="15.75" customHeight="1">
      <c r="A615" s="23"/>
    </row>
    <row r="616" ht="15.75" customHeight="1">
      <c r="A616" s="23"/>
    </row>
    <row r="617" ht="15.75" customHeight="1">
      <c r="A617" s="23"/>
    </row>
    <row r="618" ht="15.75" customHeight="1">
      <c r="A618" s="23"/>
    </row>
    <row r="619" ht="15.75" customHeight="1">
      <c r="A619" s="23"/>
    </row>
    <row r="620" ht="15.75" customHeight="1">
      <c r="A620" s="23"/>
    </row>
    <row r="621" ht="15.75" customHeight="1">
      <c r="A621" s="23"/>
    </row>
    <row r="622" ht="15.75" customHeight="1">
      <c r="A622" s="23"/>
    </row>
    <row r="623" ht="15.75" customHeight="1">
      <c r="A623" s="23"/>
    </row>
    <row r="624" ht="15.75" customHeight="1">
      <c r="A624" s="23"/>
    </row>
    <row r="625" ht="15.75" customHeight="1">
      <c r="A625" s="23"/>
    </row>
    <row r="626" ht="15.75" customHeight="1">
      <c r="A626" s="23"/>
    </row>
    <row r="627" ht="15.75" customHeight="1">
      <c r="A627" s="23"/>
    </row>
    <row r="628" ht="15.75" customHeight="1">
      <c r="A628" s="23"/>
    </row>
    <row r="629" ht="15.75" customHeight="1">
      <c r="A629" s="23"/>
    </row>
    <row r="630" ht="15.75" customHeight="1">
      <c r="A630" s="23"/>
    </row>
    <row r="631" ht="15.75" customHeight="1">
      <c r="A631" s="23"/>
    </row>
    <row r="632" ht="15.75" customHeight="1">
      <c r="A632" s="23"/>
    </row>
    <row r="633" ht="15.75" customHeight="1">
      <c r="A633" s="23"/>
    </row>
    <row r="634" ht="15.75" customHeight="1">
      <c r="A634" s="23"/>
    </row>
    <row r="635" ht="15.75" customHeight="1">
      <c r="A635" s="23"/>
    </row>
    <row r="636" ht="15.75" customHeight="1">
      <c r="A636" s="23"/>
    </row>
    <row r="637" ht="15.75" customHeight="1">
      <c r="A637" s="23"/>
    </row>
    <row r="638" ht="15.75" customHeight="1">
      <c r="A638" s="23"/>
    </row>
    <row r="639" ht="15.75" customHeight="1">
      <c r="A639" s="23"/>
    </row>
    <row r="640" ht="15.75" customHeight="1">
      <c r="A640" s="23"/>
    </row>
    <row r="641" ht="15.75" customHeight="1">
      <c r="A641" s="23"/>
    </row>
    <row r="642" ht="15.75" customHeight="1">
      <c r="A642" s="23"/>
    </row>
    <row r="643" ht="15.75" customHeight="1">
      <c r="A643" s="23"/>
    </row>
    <row r="644" ht="15.75" customHeight="1">
      <c r="A644" s="23"/>
    </row>
    <row r="645" ht="15.75" customHeight="1">
      <c r="A645" s="23"/>
    </row>
    <row r="646" ht="15.75" customHeight="1">
      <c r="A646" s="23"/>
    </row>
    <row r="647" ht="15.75" customHeight="1">
      <c r="A647" s="23"/>
    </row>
    <row r="648" ht="15.75" customHeight="1">
      <c r="A648" s="23"/>
    </row>
    <row r="649" ht="15.75" customHeight="1">
      <c r="A649" s="23"/>
    </row>
    <row r="650" ht="15.75" customHeight="1">
      <c r="A650" s="23"/>
    </row>
    <row r="651" ht="15.75" customHeight="1">
      <c r="A651" s="23"/>
    </row>
    <row r="652" ht="15.75" customHeight="1">
      <c r="A652" s="23"/>
    </row>
    <row r="653" ht="15.75" customHeight="1">
      <c r="A653" s="23"/>
    </row>
    <row r="654" ht="15.75" customHeight="1">
      <c r="A654" s="23"/>
    </row>
    <row r="655" ht="15.75" customHeight="1">
      <c r="A655" s="23"/>
    </row>
    <row r="656" ht="15.75" customHeight="1">
      <c r="A656" s="23"/>
    </row>
    <row r="657" ht="15.75" customHeight="1">
      <c r="A657" s="23"/>
    </row>
    <row r="658" ht="15.75" customHeight="1">
      <c r="A658" s="23"/>
    </row>
    <row r="659" ht="15.75" customHeight="1">
      <c r="A659" s="23"/>
    </row>
    <row r="660" ht="15.75" customHeight="1">
      <c r="A660" s="23"/>
    </row>
    <row r="661" ht="15.75" customHeight="1">
      <c r="A661" s="23"/>
    </row>
    <row r="662" ht="15.75" customHeight="1">
      <c r="A662" s="23"/>
    </row>
    <row r="663" ht="15.75" customHeight="1">
      <c r="A663" s="23"/>
    </row>
    <row r="664" ht="15.75" customHeight="1">
      <c r="A664" s="23"/>
    </row>
    <row r="665" ht="15.75" customHeight="1">
      <c r="A665" s="23"/>
    </row>
    <row r="666" ht="15.75" customHeight="1">
      <c r="A666" s="23"/>
    </row>
    <row r="667" ht="15.75" customHeight="1">
      <c r="A667" s="23"/>
    </row>
    <row r="668" ht="15.75" customHeight="1">
      <c r="A668" s="23"/>
    </row>
    <row r="669" ht="15.75" customHeight="1">
      <c r="A669" s="23"/>
    </row>
    <row r="670" ht="15.75" customHeight="1">
      <c r="A670" s="23"/>
    </row>
    <row r="671" ht="15.75" customHeight="1">
      <c r="A671" s="23"/>
    </row>
    <row r="672" ht="15.75" customHeight="1">
      <c r="A672" s="23"/>
    </row>
    <row r="673" ht="15.75" customHeight="1">
      <c r="A673" s="23"/>
    </row>
    <row r="674" ht="15.75" customHeight="1">
      <c r="A674" s="23"/>
    </row>
    <row r="675" ht="15.75" customHeight="1">
      <c r="A675" s="23"/>
    </row>
    <row r="676" ht="15.75" customHeight="1">
      <c r="A676" s="23"/>
    </row>
    <row r="677" ht="15.75" customHeight="1">
      <c r="A677" s="23"/>
    </row>
    <row r="678" ht="15.75" customHeight="1">
      <c r="A678" s="23"/>
    </row>
    <row r="679" ht="15.75" customHeight="1">
      <c r="A679" s="23"/>
    </row>
    <row r="680" ht="15.75" customHeight="1">
      <c r="A680" s="23"/>
    </row>
    <row r="681" ht="15.75" customHeight="1">
      <c r="A681" s="23"/>
    </row>
    <row r="682" ht="15.75" customHeight="1">
      <c r="A682" s="23"/>
    </row>
    <row r="683" ht="15.75" customHeight="1">
      <c r="A683" s="23"/>
    </row>
    <row r="684" ht="15.75" customHeight="1">
      <c r="A684" s="23"/>
    </row>
    <row r="685" ht="15.75" customHeight="1">
      <c r="A685" s="23"/>
    </row>
    <row r="686" ht="15.75" customHeight="1">
      <c r="A686" s="23"/>
    </row>
    <row r="687" ht="15.75" customHeight="1">
      <c r="A687" s="23"/>
    </row>
    <row r="688" ht="15.75" customHeight="1">
      <c r="A688" s="23"/>
    </row>
    <row r="689" ht="15.75" customHeight="1">
      <c r="A689" s="23"/>
    </row>
    <row r="690" ht="15.75" customHeight="1">
      <c r="A690" s="23"/>
    </row>
    <row r="691" ht="15.75" customHeight="1">
      <c r="A691" s="23"/>
    </row>
    <row r="692" ht="15.75" customHeight="1">
      <c r="A692" s="23"/>
    </row>
    <row r="693" ht="15.75" customHeight="1">
      <c r="A693" s="23"/>
    </row>
    <row r="694" ht="15.75" customHeight="1">
      <c r="A694" s="23"/>
    </row>
    <row r="695" ht="15.75" customHeight="1">
      <c r="A695" s="23"/>
    </row>
    <row r="696" ht="15.75" customHeight="1">
      <c r="A696" s="23"/>
    </row>
    <row r="697" ht="15.75" customHeight="1">
      <c r="A697" s="23"/>
    </row>
    <row r="698" ht="15.75" customHeight="1">
      <c r="A698" s="23"/>
    </row>
    <row r="699" ht="15.75" customHeight="1">
      <c r="A699" s="23"/>
    </row>
    <row r="700" ht="15.75" customHeight="1">
      <c r="A700" s="23"/>
    </row>
    <row r="701" ht="15.75" customHeight="1">
      <c r="A701" s="23"/>
    </row>
    <row r="702" ht="15.75" customHeight="1">
      <c r="A702" s="23"/>
    </row>
    <row r="703" ht="15.75" customHeight="1">
      <c r="A703" s="23"/>
    </row>
    <row r="704" ht="15.75" customHeight="1">
      <c r="A704" s="23"/>
    </row>
    <row r="705" ht="15.75" customHeight="1">
      <c r="A705" s="23"/>
    </row>
    <row r="706" ht="15.75" customHeight="1">
      <c r="A706" s="23"/>
    </row>
    <row r="707" ht="15.75" customHeight="1">
      <c r="A707" s="23"/>
    </row>
    <row r="708" ht="15.75" customHeight="1">
      <c r="A708" s="23"/>
    </row>
    <row r="709" ht="15.75" customHeight="1">
      <c r="A709" s="23"/>
    </row>
    <row r="710" ht="15.75" customHeight="1">
      <c r="A710" s="23"/>
    </row>
    <row r="711" ht="15.75" customHeight="1">
      <c r="A711" s="23"/>
    </row>
    <row r="712" ht="15.75" customHeight="1">
      <c r="A712" s="23"/>
    </row>
    <row r="713" ht="15.75" customHeight="1">
      <c r="A713" s="23"/>
    </row>
    <row r="714" ht="15.75" customHeight="1">
      <c r="A714" s="23"/>
    </row>
    <row r="715" ht="15.75" customHeight="1">
      <c r="A715" s="23"/>
    </row>
    <row r="716" ht="15.75" customHeight="1">
      <c r="A716" s="23"/>
    </row>
    <row r="717" ht="15.75" customHeight="1">
      <c r="A717" s="23"/>
    </row>
    <row r="718" ht="15.75" customHeight="1">
      <c r="A718" s="23"/>
    </row>
    <row r="719" ht="15.75" customHeight="1">
      <c r="A719" s="23"/>
    </row>
    <row r="720" ht="15.75" customHeight="1">
      <c r="A720" s="23"/>
    </row>
    <row r="721" ht="15.75" customHeight="1">
      <c r="A721" s="23"/>
    </row>
    <row r="722" ht="15.75" customHeight="1">
      <c r="A722" s="23"/>
    </row>
    <row r="723" ht="15.75" customHeight="1">
      <c r="A723" s="23"/>
    </row>
    <row r="724" ht="15.75" customHeight="1">
      <c r="A724" s="23"/>
    </row>
    <row r="725" ht="15.75" customHeight="1">
      <c r="A725" s="23"/>
    </row>
    <row r="726" ht="15.75" customHeight="1">
      <c r="A726" s="23"/>
    </row>
    <row r="727" ht="15.75" customHeight="1">
      <c r="A727" s="23"/>
    </row>
    <row r="728" ht="15.75" customHeight="1">
      <c r="A728" s="23"/>
    </row>
    <row r="729" ht="15.75" customHeight="1">
      <c r="A729" s="23"/>
    </row>
    <row r="730" ht="15.75" customHeight="1">
      <c r="A730" s="23"/>
    </row>
    <row r="731" ht="15.75" customHeight="1">
      <c r="A731" s="23"/>
    </row>
    <row r="732" ht="15.75" customHeight="1">
      <c r="A732" s="23"/>
    </row>
    <row r="733" ht="15.75" customHeight="1">
      <c r="A733" s="23"/>
    </row>
    <row r="734" ht="15.75" customHeight="1">
      <c r="A734" s="23"/>
    </row>
    <row r="735" ht="15.75" customHeight="1">
      <c r="A735" s="23"/>
    </row>
    <row r="736" ht="15.75" customHeight="1">
      <c r="A736" s="23"/>
    </row>
    <row r="737" ht="15.75" customHeight="1">
      <c r="A737" s="23"/>
    </row>
    <row r="738" ht="15.75" customHeight="1">
      <c r="A738" s="23"/>
    </row>
    <row r="739" ht="15.75" customHeight="1">
      <c r="A739" s="23"/>
    </row>
    <row r="740" ht="15.75" customHeight="1">
      <c r="A740" s="23"/>
    </row>
    <row r="741" ht="15.75" customHeight="1">
      <c r="A741" s="23"/>
    </row>
    <row r="742" ht="15.75" customHeight="1">
      <c r="A742" s="23"/>
    </row>
    <row r="743" ht="15.75" customHeight="1">
      <c r="A743" s="23"/>
    </row>
    <row r="744" ht="15.75" customHeight="1">
      <c r="A744" s="23"/>
    </row>
    <row r="745" ht="15.75" customHeight="1">
      <c r="A745" s="23"/>
    </row>
    <row r="746" ht="15.75" customHeight="1">
      <c r="A746" s="23"/>
    </row>
    <row r="747" ht="15.75" customHeight="1">
      <c r="A747" s="23"/>
    </row>
    <row r="748" ht="15.75" customHeight="1">
      <c r="A748" s="23"/>
    </row>
    <row r="749" ht="15.75" customHeight="1">
      <c r="A749" s="23"/>
    </row>
    <row r="750" ht="15.75" customHeight="1">
      <c r="A750" s="23"/>
    </row>
    <row r="751" ht="15.75" customHeight="1">
      <c r="A751" s="23"/>
    </row>
    <row r="752" ht="15.75" customHeight="1">
      <c r="A752" s="23"/>
    </row>
    <row r="753" ht="15.75" customHeight="1">
      <c r="A753" s="23"/>
    </row>
    <row r="754" ht="15.75" customHeight="1">
      <c r="A754" s="23"/>
    </row>
    <row r="755" ht="15.75" customHeight="1">
      <c r="A755" s="23"/>
    </row>
    <row r="756" ht="15.75" customHeight="1">
      <c r="A756" s="23"/>
    </row>
    <row r="757" ht="15.75" customHeight="1">
      <c r="A757" s="23"/>
    </row>
    <row r="758" ht="15.75" customHeight="1">
      <c r="A758" s="23"/>
    </row>
    <row r="759" ht="15.75" customHeight="1">
      <c r="A759" s="23"/>
    </row>
    <row r="760" ht="15.75" customHeight="1">
      <c r="A760" s="23"/>
    </row>
    <row r="761" ht="15.75" customHeight="1">
      <c r="A761" s="23"/>
    </row>
    <row r="762" ht="15.75" customHeight="1">
      <c r="A762" s="23"/>
    </row>
    <row r="763" ht="15.75" customHeight="1">
      <c r="A763" s="23"/>
    </row>
    <row r="764" ht="15.75" customHeight="1">
      <c r="A764" s="23"/>
    </row>
    <row r="765" ht="15.75" customHeight="1">
      <c r="A765" s="23"/>
    </row>
    <row r="766" ht="15.75" customHeight="1">
      <c r="A766" s="23"/>
    </row>
    <row r="767" ht="15.75" customHeight="1">
      <c r="A767" s="23"/>
    </row>
    <row r="768" ht="15.75" customHeight="1">
      <c r="A768" s="23"/>
    </row>
    <row r="769" ht="15.75" customHeight="1">
      <c r="A769" s="23"/>
    </row>
    <row r="770" ht="15.75" customHeight="1">
      <c r="A770" s="23"/>
    </row>
    <row r="771" ht="15.75" customHeight="1">
      <c r="A771" s="23"/>
    </row>
    <row r="772" ht="15.75" customHeight="1">
      <c r="A772" s="23"/>
    </row>
    <row r="773" ht="15.75" customHeight="1">
      <c r="A773" s="23"/>
    </row>
    <row r="774" ht="15.75" customHeight="1">
      <c r="A774" s="23"/>
    </row>
    <row r="775" ht="15.75" customHeight="1">
      <c r="A775" s="23"/>
    </row>
    <row r="776" ht="15.75" customHeight="1">
      <c r="A776" s="23"/>
    </row>
    <row r="777" ht="15.75" customHeight="1">
      <c r="A777" s="23"/>
    </row>
    <row r="778" ht="15.75" customHeight="1">
      <c r="A778" s="23"/>
    </row>
    <row r="779" ht="15.75" customHeight="1">
      <c r="A779" s="23"/>
    </row>
    <row r="780" ht="15.75" customHeight="1">
      <c r="A780" s="23"/>
    </row>
    <row r="781" ht="15.75" customHeight="1">
      <c r="A781" s="23"/>
    </row>
    <row r="782" ht="15.75" customHeight="1">
      <c r="A782" s="23"/>
    </row>
    <row r="783" ht="15.75" customHeight="1">
      <c r="A783" s="23"/>
    </row>
    <row r="784" ht="15.75" customHeight="1">
      <c r="A784" s="23"/>
    </row>
    <row r="785" ht="15.75" customHeight="1">
      <c r="A785" s="23"/>
    </row>
    <row r="786" ht="15.75" customHeight="1">
      <c r="A786" s="23"/>
    </row>
    <row r="787" ht="15.75" customHeight="1">
      <c r="A787" s="23"/>
    </row>
    <row r="788" ht="15.75" customHeight="1">
      <c r="A788" s="23"/>
    </row>
    <row r="789" ht="15.75" customHeight="1">
      <c r="A789" s="23"/>
    </row>
    <row r="790" ht="15.75" customHeight="1">
      <c r="A790" s="23"/>
    </row>
    <row r="791" ht="15.75" customHeight="1">
      <c r="A791" s="23"/>
    </row>
    <row r="792" ht="15.75" customHeight="1">
      <c r="A792" s="23"/>
    </row>
    <row r="793" ht="15.75" customHeight="1">
      <c r="A793" s="23"/>
    </row>
    <row r="794" ht="15.75" customHeight="1">
      <c r="A794" s="23"/>
    </row>
    <row r="795" ht="15.75" customHeight="1">
      <c r="A795" s="23"/>
    </row>
    <row r="796" ht="15.75" customHeight="1">
      <c r="A796" s="23"/>
    </row>
    <row r="797" ht="15.75" customHeight="1">
      <c r="A797" s="23"/>
    </row>
    <row r="798" ht="15.75" customHeight="1">
      <c r="A798" s="23"/>
    </row>
    <row r="799" ht="15.75" customHeight="1">
      <c r="A799" s="23"/>
    </row>
    <row r="800" ht="15.75" customHeight="1">
      <c r="A800" s="23"/>
    </row>
    <row r="801" ht="15.75" customHeight="1">
      <c r="A801" s="23"/>
    </row>
    <row r="802" ht="15.75" customHeight="1">
      <c r="A802" s="23"/>
    </row>
    <row r="803" ht="15.75" customHeight="1">
      <c r="A803" s="23"/>
    </row>
    <row r="804" ht="15.75" customHeight="1">
      <c r="A804" s="23"/>
    </row>
    <row r="805" ht="15.75" customHeight="1">
      <c r="A805" s="23"/>
    </row>
    <row r="806" ht="15.75" customHeight="1">
      <c r="A806" s="23"/>
    </row>
    <row r="807" ht="15.75" customHeight="1">
      <c r="A807" s="23"/>
    </row>
    <row r="808" ht="15.75" customHeight="1">
      <c r="A808" s="23"/>
    </row>
    <row r="809" ht="15.75" customHeight="1">
      <c r="A809" s="23"/>
    </row>
    <row r="810" ht="15.75" customHeight="1">
      <c r="A810" s="23"/>
    </row>
    <row r="811" ht="15.75" customHeight="1">
      <c r="A811" s="23"/>
    </row>
    <row r="812" ht="15.75" customHeight="1">
      <c r="A812" s="23"/>
    </row>
    <row r="813" ht="15.75" customHeight="1">
      <c r="A813" s="23"/>
    </row>
    <row r="814" ht="15.75" customHeight="1">
      <c r="A814" s="23"/>
    </row>
    <row r="815" ht="15.75" customHeight="1">
      <c r="A815" s="23"/>
    </row>
    <row r="816" ht="15.75" customHeight="1">
      <c r="A816" s="23"/>
    </row>
    <row r="817" ht="15.75" customHeight="1">
      <c r="A817" s="23"/>
    </row>
    <row r="818" ht="15.75" customHeight="1">
      <c r="A818" s="23"/>
    </row>
    <row r="819" ht="15.75" customHeight="1">
      <c r="A819" s="23"/>
    </row>
    <row r="820" ht="15.75" customHeight="1">
      <c r="A820" s="23"/>
    </row>
    <row r="821" ht="15.75" customHeight="1">
      <c r="A821" s="23"/>
    </row>
    <row r="822" ht="15.75" customHeight="1">
      <c r="A822" s="23"/>
    </row>
    <row r="823" ht="15.75" customHeight="1">
      <c r="A823" s="23"/>
    </row>
    <row r="824" ht="15.75" customHeight="1">
      <c r="A824" s="23"/>
    </row>
    <row r="825" ht="15.75" customHeight="1">
      <c r="A825" s="23"/>
    </row>
    <row r="826" ht="15.75" customHeight="1">
      <c r="A826" s="23"/>
    </row>
    <row r="827" ht="15.75" customHeight="1">
      <c r="A827" s="23"/>
    </row>
    <row r="828" ht="15.75" customHeight="1">
      <c r="A828" s="23"/>
    </row>
    <row r="829" ht="15.75" customHeight="1">
      <c r="A829" s="23"/>
    </row>
    <row r="830" ht="15.75" customHeight="1">
      <c r="A830" s="23"/>
    </row>
    <row r="831" ht="15.75" customHeight="1">
      <c r="A831" s="23"/>
    </row>
    <row r="832" ht="15.75" customHeight="1">
      <c r="A832" s="23"/>
    </row>
    <row r="833" ht="15.75" customHeight="1">
      <c r="A833" s="23"/>
    </row>
    <row r="834" ht="15.75" customHeight="1">
      <c r="A834" s="23"/>
    </row>
    <row r="835" ht="15.75" customHeight="1">
      <c r="A835" s="23"/>
    </row>
    <row r="836" ht="15.75" customHeight="1">
      <c r="A836" s="23"/>
    </row>
    <row r="837" ht="15.75" customHeight="1">
      <c r="A837" s="23"/>
    </row>
    <row r="838" ht="15.75" customHeight="1">
      <c r="A838" s="23"/>
    </row>
    <row r="839" ht="15.75" customHeight="1">
      <c r="A839" s="23"/>
    </row>
    <row r="840" ht="15.75" customHeight="1">
      <c r="A840" s="23"/>
    </row>
    <row r="841" ht="15.75" customHeight="1">
      <c r="A841" s="23"/>
    </row>
    <row r="842" ht="15.75" customHeight="1">
      <c r="A842" s="23"/>
    </row>
    <row r="843" ht="15.75" customHeight="1">
      <c r="A843" s="23"/>
    </row>
    <row r="844" ht="15.75" customHeight="1">
      <c r="A844" s="23"/>
    </row>
    <row r="845" ht="15.75" customHeight="1">
      <c r="A845" s="23"/>
    </row>
    <row r="846" ht="15.75" customHeight="1">
      <c r="A846" s="23"/>
    </row>
    <row r="847" ht="15.75" customHeight="1">
      <c r="A847" s="23"/>
    </row>
    <row r="848" ht="15.75" customHeight="1">
      <c r="A848" s="23"/>
    </row>
    <row r="849" ht="15.75" customHeight="1">
      <c r="A849" s="23"/>
    </row>
    <row r="850" ht="15.75" customHeight="1">
      <c r="A850" s="23"/>
    </row>
    <row r="851" ht="15.75" customHeight="1">
      <c r="A851" s="23"/>
    </row>
    <row r="852" ht="15.75" customHeight="1">
      <c r="A852" s="23"/>
    </row>
    <row r="853" ht="15.75" customHeight="1">
      <c r="A853" s="23"/>
    </row>
    <row r="854" ht="15.75" customHeight="1">
      <c r="A854" s="23"/>
    </row>
    <row r="855" ht="15.75" customHeight="1">
      <c r="A855" s="23"/>
    </row>
    <row r="856" ht="15.75" customHeight="1">
      <c r="A856" s="23"/>
    </row>
    <row r="857" ht="15.75" customHeight="1">
      <c r="A857" s="23"/>
    </row>
    <row r="858" ht="15.75" customHeight="1">
      <c r="A858" s="23"/>
    </row>
    <row r="859" ht="15.75" customHeight="1">
      <c r="A859" s="23"/>
    </row>
    <row r="860" ht="15.75" customHeight="1">
      <c r="A860" s="23"/>
    </row>
    <row r="861" ht="15.75" customHeight="1">
      <c r="A861" s="23"/>
    </row>
    <row r="862" ht="15.75" customHeight="1">
      <c r="A862" s="23"/>
    </row>
    <row r="863" ht="15.75" customHeight="1">
      <c r="A863" s="23"/>
    </row>
    <row r="864" ht="15.75" customHeight="1">
      <c r="A864" s="23"/>
    </row>
    <row r="865" ht="15.75" customHeight="1">
      <c r="A865" s="23"/>
    </row>
    <row r="866" ht="15.75" customHeight="1">
      <c r="A866" s="23"/>
    </row>
    <row r="867" ht="15.75" customHeight="1">
      <c r="A867" s="23"/>
    </row>
    <row r="868" ht="15.75" customHeight="1">
      <c r="A868" s="23"/>
    </row>
    <row r="869" ht="15.75" customHeight="1">
      <c r="A869" s="23"/>
    </row>
    <row r="870" ht="15.75" customHeight="1">
      <c r="A870" s="23"/>
    </row>
    <row r="871" ht="15.75" customHeight="1">
      <c r="A871" s="23"/>
    </row>
    <row r="872" ht="15.75" customHeight="1">
      <c r="A872" s="23"/>
    </row>
    <row r="873" ht="15.75" customHeight="1">
      <c r="A873" s="23"/>
    </row>
    <row r="874" ht="15.75" customHeight="1">
      <c r="A874" s="23"/>
    </row>
    <row r="875" ht="15.75" customHeight="1">
      <c r="A875" s="23"/>
    </row>
    <row r="876" ht="15.75" customHeight="1">
      <c r="A876" s="23"/>
    </row>
    <row r="877" ht="15.75" customHeight="1">
      <c r="A877" s="23"/>
    </row>
    <row r="878" ht="15.75" customHeight="1">
      <c r="A878" s="23"/>
    </row>
    <row r="879" ht="15.75" customHeight="1">
      <c r="A879" s="23"/>
    </row>
    <row r="880" ht="15.75" customHeight="1">
      <c r="A880" s="23"/>
    </row>
    <row r="881" ht="15.75" customHeight="1">
      <c r="A881" s="23"/>
    </row>
    <row r="882" ht="15.75" customHeight="1">
      <c r="A882" s="23"/>
    </row>
    <row r="883" ht="15.75" customHeight="1">
      <c r="A883" s="23"/>
    </row>
    <row r="884" ht="15.75" customHeight="1">
      <c r="A884" s="23"/>
    </row>
    <row r="885" ht="15.75" customHeight="1">
      <c r="A885" s="23"/>
    </row>
    <row r="886" ht="15.75" customHeight="1">
      <c r="A886" s="23"/>
    </row>
    <row r="887" ht="15.75" customHeight="1">
      <c r="A887" s="23"/>
    </row>
    <row r="888" ht="15.75" customHeight="1">
      <c r="A888" s="23"/>
    </row>
    <row r="889" ht="15.75" customHeight="1">
      <c r="A889" s="23"/>
    </row>
    <row r="890" ht="15.75" customHeight="1">
      <c r="A890" s="23"/>
    </row>
    <row r="891" ht="15.75" customHeight="1">
      <c r="A891" s="23"/>
    </row>
    <row r="892" ht="15.75" customHeight="1">
      <c r="A892" s="23"/>
    </row>
    <row r="893" ht="15.75" customHeight="1">
      <c r="A893" s="23"/>
    </row>
    <row r="894" ht="15.75" customHeight="1">
      <c r="A894" s="23"/>
    </row>
    <row r="895" ht="15.75" customHeight="1">
      <c r="A895" s="23"/>
    </row>
    <row r="896" ht="15.75" customHeight="1">
      <c r="A896" s="23"/>
    </row>
    <row r="897" ht="15.75" customHeight="1">
      <c r="A897" s="23"/>
    </row>
    <row r="898" ht="15.75" customHeight="1">
      <c r="A898" s="23"/>
    </row>
    <row r="899" ht="15.75" customHeight="1">
      <c r="A899" s="23"/>
    </row>
    <row r="900" ht="15.75" customHeight="1">
      <c r="A900" s="23"/>
    </row>
    <row r="901" ht="15.75" customHeight="1">
      <c r="A901" s="23"/>
    </row>
    <row r="902" ht="15.75" customHeight="1">
      <c r="A902" s="23"/>
    </row>
    <row r="903" ht="15.75" customHeight="1">
      <c r="A903" s="23"/>
    </row>
    <row r="904" ht="15.75" customHeight="1">
      <c r="A904" s="23"/>
    </row>
    <row r="905" ht="15.75" customHeight="1">
      <c r="A905" s="23"/>
    </row>
    <row r="906" ht="15.75" customHeight="1">
      <c r="A906" s="23"/>
    </row>
    <row r="907" ht="15.75" customHeight="1">
      <c r="A907" s="23"/>
    </row>
    <row r="908" ht="15.75" customHeight="1">
      <c r="A908" s="23"/>
    </row>
    <row r="909" ht="15.75" customHeight="1">
      <c r="A909" s="23"/>
    </row>
    <row r="910" ht="15.75" customHeight="1">
      <c r="A910" s="23"/>
    </row>
    <row r="911" ht="15.75" customHeight="1">
      <c r="A911" s="23"/>
    </row>
    <row r="912" ht="15.75" customHeight="1">
      <c r="A912" s="23"/>
    </row>
    <row r="913" ht="15.75" customHeight="1">
      <c r="A913" s="23"/>
    </row>
    <row r="914" ht="15.75" customHeight="1">
      <c r="A914" s="23"/>
    </row>
    <row r="915" ht="15.75" customHeight="1">
      <c r="A915" s="23"/>
    </row>
    <row r="916" ht="15.75" customHeight="1">
      <c r="A916" s="23"/>
    </row>
    <row r="917" ht="15.75" customHeight="1">
      <c r="A917" s="23"/>
    </row>
    <row r="918" ht="15.75" customHeight="1">
      <c r="A918" s="23"/>
    </row>
    <row r="919" ht="15.75" customHeight="1">
      <c r="A919" s="23"/>
    </row>
    <row r="920" ht="15.75" customHeight="1">
      <c r="A920" s="23"/>
    </row>
    <row r="921" ht="15.75" customHeight="1">
      <c r="A921" s="23"/>
    </row>
    <row r="922" ht="15.75" customHeight="1">
      <c r="A922" s="23"/>
    </row>
    <row r="923" ht="15.75" customHeight="1">
      <c r="A923" s="23"/>
    </row>
    <row r="924" ht="15.75" customHeight="1">
      <c r="A924" s="23"/>
    </row>
    <row r="925" ht="15.75" customHeight="1">
      <c r="A925" s="23"/>
    </row>
    <row r="926" ht="15.75" customHeight="1">
      <c r="A926" s="23"/>
    </row>
    <row r="927" ht="15.75" customHeight="1">
      <c r="A927" s="23"/>
    </row>
    <row r="928" ht="15.75" customHeight="1">
      <c r="A928" s="23"/>
    </row>
    <row r="929" ht="15.75" customHeight="1">
      <c r="A929" s="23"/>
    </row>
    <row r="930" ht="15.75" customHeight="1">
      <c r="A930" s="23"/>
    </row>
    <row r="931" ht="15.75" customHeight="1">
      <c r="A931" s="23"/>
    </row>
    <row r="932" ht="15.75" customHeight="1">
      <c r="A932" s="23"/>
    </row>
    <row r="933" ht="15.75" customHeight="1">
      <c r="A933" s="23"/>
    </row>
    <row r="934" ht="15.75" customHeight="1">
      <c r="A934" s="23"/>
    </row>
    <row r="935" ht="15.75" customHeight="1">
      <c r="A935" s="23"/>
    </row>
    <row r="936" ht="15.75" customHeight="1">
      <c r="A936" s="23"/>
    </row>
    <row r="937" ht="15.75" customHeight="1">
      <c r="A937" s="23"/>
    </row>
    <row r="938" ht="15.75" customHeight="1">
      <c r="A938" s="23"/>
    </row>
    <row r="939" ht="15.75" customHeight="1">
      <c r="A939" s="23"/>
    </row>
    <row r="940" ht="15.75" customHeight="1">
      <c r="A940" s="23"/>
    </row>
    <row r="941" ht="15.75" customHeight="1">
      <c r="A941" s="23"/>
    </row>
    <row r="942" ht="15.75" customHeight="1">
      <c r="A942" s="23"/>
    </row>
    <row r="943" ht="15.75" customHeight="1">
      <c r="A943" s="23"/>
    </row>
    <row r="944" ht="15.75" customHeight="1">
      <c r="A944" s="23"/>
    </row>
    <row r="945" ht="15.75" customHeight="1">
      <c r="A945" s="23"/>
    </row>
    <row r="946" ht="15.75" customHeight="1">
      <c r="A946" s="23"/>
    </row>
    <row r="947" ht="15.75" customHeight="1">
      <c r="A947" s="23"/>
    </row>
    <row r="948" ht="15.75" customHeight="1">
      <c r="A948" s="23"/>
    </row>
    <row r="949" ht="15.75" customHeight="1">
      <c r="A949" s="23"/>
    </row>
    <row r="950" ht="15.75" customHeight="1">
      <c r="A950" s="23"/>
    </row>
    <row r="951" ht="15.75" customHeight="1">
      <c r="A951" s="23"/>
    </row>
    <row r="952" ht="15.75" customHeight="1">
      <c r="A952" s="23"/>
    </row>
    <row r="953" ht="15.75" customHeight="1">
      <c r="A953" s="23"/>
    </row>
    <row r="954" ht="15.75" customHeight="1">
      <c r="A954" s="23"/>
    </row>
    <row r="955" ht="15.75" customHeight="1">
      <c r="A955" s="23"/>
    </row>
    <row r="956" ht="15.75" customHeight="1">
      <c r="A956" s="23"/>
    </row>
    <row r="957" ht="15.75" customHeight="1">
      <c r="A957" s="23"/>
    </row>
    <row r="958" ht="15.75" customHeight="1">
      <c r="A958" s="23"/>
    </row>
    <row r="959" ht="15.75" customHeight="1">
      <c r="A959" s="23"/>
    </row>
    <row r="960" ht="15.75" customHeight="1">
      <c r="A960" s="23"/>
    </row>
    <row r="961" ht="15.75" customHeight="1">
      <c r="A961" s="23"/>
    </row>
    <row r="962" ht="15.75" customHeight="1">
      <c r="A962" s="23"/>
    </row>
    <row r="963" ht="15.75" customHeight="1">
      <c r="A963" s="23"/>
    </row>
    <row r="964" ht="15.75" customHeight="1">
      <c r="A964" s="23"/>
    </row>
    <row r="965" ht="15.75" customHeight="1">
      <c r="A965" s="23"/>
    </row>
    <row r="966" ht="15.75" customHeight="1">
      <c r="A966" s="23"/>
    </row>
    <row r="967" ht="15.75" customHeight="1">
      <c r="A967" s="23"/>
    </row>
    <row r="968" ht="15.75" customHeight="1">
      <c r="A968" s="23"/>
    </row>
    <row r="969" ht="15.75" customHeight="1">
      <c r="A969" s="23"/>
    </row>
    <row r="970" ht="15.75" customHeight="1">
      <c r="A970" s="23"/>
    </row>
    <row r="971" ht="15.75" customHeight="1">
      <c r="A971" s="23"/>
    </row>
    <row r="972" ht="15.75" customHeight="1">
      <c r="A972" s="23"/>
    </row>
    <row r="973" ht="15.75" customHeight="1">
      <c r="A973" s="23"/>
    </row>
    <row r="974" ht="15.75" customHeight="1">
      <c r="A974" s="23"/>
    </row>
    <row r="975" ht="15.75" customHeight="1">
      <c r="A975" s="23"/>
    </row>
    <row r="976" ht="15.75" customHeight="1">
      <c r="A976" s="23"/>
    </row>
    <row r="977" ht="15.75" customHeight="1">
      <c r="A977" s="23"/>
    </row>
    <row r="978" ht="15.75" customHeight="1">
      <c r="A978" s="23"/>
    </row>
    <row r="979" ht="15.75" customHeight="1">
      <c r="A979" s="23"/>
    </row>
    <row r="980" ht="15.75" customHeight="1">
      <c r="A980" s="23"/>
    </row>
    <row r="981" ht="15.75" customHeight="1">
      <c r="A981" s="23"/>
    </row>
    <row r="982" ht="15.75" customHeight="1">
      <c r="A982" s="23"/>
    </row>
    <row r="983" ht="15.75" customHeight="1">
      <c r="A983" s="23"/>
    </row>
    <row r="984" ht="15.75" customHeight="1">
      <c r="A984" s="23"/>
    </row>
    <row r="985" ht="15.75" customHeight="1">
      <c r="A985" s="23"/>
    </row>
    <row r="986" ht="15.75" customHeight="1">
      <c r="A986" s="23"/>
    </row>
    <row r="987" ht="15.75" customHeight="1">
      <c r="A987" s="23"/>
    </row>
    <row r="988" ht="15.75" customHeight="1">
      <c r="A988" s="23"/>
    </row>
    <row r="989" ht="15.75" customHeight="1">
      <c r="A989" s="23"/>
    </row>
    <row r="990" ht="15.75" customHeight="1">
      <c r="A990" s="23"/>
    </row>
    <row r="991" ht="15.75" customHeight="1">
      <c r="A991" s="23"/>
    </row>
    <row r="992" ht="15.75" customHeight="1">
      <c r="A992" s="23"/>
    </row>
    <row r="993" ht="15.75" customHeight="1">
      <c r="A993" s="23"/>
    </row>
    <row r="994" ht="15.75" customHeight="1">
      <c r="A994" s="23"/>
    </row>
    <row r="995" ht="15.75" customHeight="1">
      <c r="A995" s="23"/>
    </row>
    <row r="996" ht="15.75" customHeight="1">
      <c r="A996" s="23"/>
    </row>
    <row r="997" ht="15.75" customHeight="1">
      <c r="A997" s="23"/>
    </row>
    <row r="998" ht="15.75" customHeight="1">
      <c r="A998" s="23"/>
    </row>
    <row r="999" ht="15.75" customHeight="1">
      <c r="A999" s="23"/>
    </row>
    <row r="1000" ht="15.75" customHeight="1">
      <c r="A1000" s="23"/>
    </row>
  </sheetData>
  <mergeCells count="1">
    <mergeCell ref="A1:U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25"/>
    <col customWidth="1" min="3" max="3" width="32.25"/>
    <col customWidth="1" min="4" max="5" width="46.75"/>
    <col customWidth="1" min="6" max="26" width="8.63"/>
  </cols>
  <sheetData>
    <row r="1" ht="12.75" customHeight="1">
      <c r="A1" s="1" t="s">
        <v>31</v>
      </c>
      <c r="B1" s="1" t="s">
        <v>22</v>
      </c>
      <c r="C1" s="1" t="s">
        <v>23</v>
      </c>
      <c r="D1" s="1" t="s">
        <v>24</v>
      </c>
      <c r="E1" s="1" t="s">
        <v>11</v>
      </c>
    </row>
    <row r="2" ht="12.75" customHeight="1">
      <c r="A2" s="1">
        <v>2014.0</v>
      </c>
      <c r="B2" s="1">
        <v>0.08021636023</v>
      </c>
      <c r="C2" s="1"/>
      <c r="D2" s="1"/>
      <c r="E2" s="1"/>
    </row>
    <row r="3" ht="12.75" customHeight="1">
      <c r="A3" s="1">
        <v>2015.0</v>
      </c>
      <c r="B3" s="1">
        <v>0.04360192386</v>
      </c>
      <c r="C3" s="1"/>
      <c r="D3" s="1"/>
      <c r="E3" s="1"/>
    </row>
    <row r="4" ht="12.75" customHeight="1">
      <c r="A4" s="1">
        <v>2016.0</v>
      </c>
      <c r="B4" s="1">
        <v>0.05328876712</v>
      </c>
      <c r="C4" s="1"/>
      <c r="D4" s="1"/>
      <c r="E4" s="1"/>
    </row>
    <row r="5" ht="12.75" customHeight="1">
      <c r="A5" s="1">
        <v>2017.0</v>
      </c>
      <c r="B5" s="1">
        <v>0.03657376113</v>
      </c>
      <c r="C5" s="1"/>
      <c r="D5" s="1"/>
      <c r="E5" s="1"/>
    </row>
    <row r="6" ht="12.75" customHeight="1">
      <c r="A6" s="1">
        <v>2018.0</v>
      </c>
      <c r="B6" s="1">
        <v>0.02748934617</v>
      </c>
      <c r="C6" s="1"/>
      <c r="D6" s="1"/>
      <c r="E6" s="1"/>
    </row>
    <row r="7" ht="12.75" customHeight="1">
      <c r="A7" s="1">
        <v>2019.0</v>
      </c>
      <c r="B7" s="1">
        <v>0.02379237612</v>
      </c>
      <c r="C7" s="1"/>
      <c r="D7" s="1"/>
      <c r="E7" s="1"/>
    </row>
    <row r="8" ht="12.75" customHeight="1">
      <c r="A8" s="1">
        <v>2020.0</v>
      </c>
      <c r="B8" s="1">
        <v>0.01867234196</v>
      </c>
      <c r="C8" s="1"/>
      <c r="D8" s="1"/>
      <c r="E8" s="1"/>
    </row>
    <row r="9" ht="12.75" customHeight="1">
      <c r="A9" s="1">
        <v>2021.0</v>
      </c>
      <c r="B9" s="1">
        <v>0.03774749449</v>
      </c>
      <c r="C9" s="1"/>
      <c r="D9" s="1"/>
      <c r="E9" s="1"/>
    </row>
    <row r="10" ht="12.75" customHeight="1">
      <c r="A10" s="1">
        <v>2022.0</v>
      </c>
      <c r="B10" s="1">
        <v>0.03950870515</v>
      </c>
      <c r="C10" s="1"/>
      <c r="D10" s="1"/>
      <c r="E10" s="1"/>
    </row>
    <row r="11" ht="12.75" customHeight="1">
      <c r="A11" s="1">
        <v>2023.0</v>
      </c>
      <c r="B11" s="1">
        <v>0.05271793359</v>
      </c>
      <c r="C11" s="1"/>
      <c r="D11" s="1"/>
      <c r="E11" s="1"/>
    </row>
    <row r="12" ht="12.75" customHeight="1">
      <c r="A12" s="1">
        <v>2024.0</v>
      </c>
      <c r="B12" s="1">
        <v>0.04952805911</v>
      </c>
      <c r="C12" s="1">
        <v>0.04952805911</v>
      </c>
      <c r="D12" s="4">
        <v>0.04952805911</v>
      </c>
      <c r="E12" s="4">
        <v>0.04952805911</v>
      </c>
    </row>
    <row r="13" ht="12.75" customHeight="1">
      <c r="A13" s="1">
        <v>2025.0</v>
      </c>
      <c r="B13" s="1"/>
      <c r="C13" s="1" t="str">
        <f t="shared" ref="C13:C17" si="1">_xlfn.FORECAST.ETS(A13,$B$2:$B$12,$A$2:$A$12,1,1)</f>
        <v>#NAME?</v>
      </c>
      <c r="D13" s="4" t="str">
        <f t="shared" ref="D13:D17" si="2">C13-_xlfn.FORECAST.ETS.CONFINT(A13,$B$2:$B$12,$A$2:$A$12,0.95,1,1)</f>
        <v>#NAME?</v>
      </c>
      <c r="E13" s="4" t="str">
        <f t="shared" ref="E13:E17" si="3">C13+_xlfn.FORECAST.ETS.CONFINT(A13,$B$2:$B$12,$A$2:$A$12,0.95,1,1)</f>
        <v>#NAME?</v>
      </c>
    </row>
    <row r="14" ht="12.75" customHeight="1">
      <c r="A14" s="1">
        <v>2026.0</v>
      </c>
      <c r="B14" s="1"/>
      <c r="C14" s="1" t="str">
        <f t="shared" si="1"/>
        <v>#NAME?</v>
      </c>
      <c r="D14" s="4" t="str">
        <f t="shared" si="2"/>
        <v>#NAME?</v>
      </c>
      <c r="E14" s="4" t="str">
        <f t="shared" si="3"/>
        <v>#NAME?</v>
      </c>
    </row>
    <row r="15" ht="12.75" customHeight="1">
      <c r="A15" s="1">
        <v>2027.0</v>
      </c>
      <c r="B15" s="1"/>
      <c r="C15" s="1" t="str">
        <f t="shared" si="1"/>
        <v>#NAME?</v>
      </c>
      <c r="D15" s="4" t="str">
        <f t="shared" si="2"/>
        <v>#NAME?</v>
      </c>
      <c r="E15" s="4" t="str">
        <f t="shared" si="3"/>
        <v>#NAME?</v>
      </c>
    </row>
    <row r="16" ht="12.75" customHeight="1">
      <c r="A16" s="1">
        <v>2028.0</v>
      </c>
      <c r="B16" s="1"/>
      <c r="C16" s="1" t="str">
        <f t="shared" si="1"/>
        <v>#NAME?</v>
      </c>
      <c r="D16" s="4" t="str">
        <f t="shared" si="2"/>
        <v>#NAME?</v>
      </c>
      <c r="E16" s="4" t="str">
        <f t="shared" si="3"/>
        <v>#NAME?</v>
      </c>
    </row>
    <row r="17" ht="12.75" customHeight="1">
      <c r="A17" s="1">
        <v>2029.0</v>
      </c>
      <c r="B17" s="1"/>
      <c r="C17" s="1" t="str">
        <f t="shared" si="1"/>
        <v>#NAME?</v>
      </c>
      <c r="D17" s="4" t="str">
        <f t="shared" si="2"/>
        <v>#NAME?</v>
      </c>
      <c r="E17" s="4" t="str">
        <f t="shared" si="3"/>
        <v>#NAME?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0"/>
    <col customWidth="1" min="3" max="3" width="29.88"/>
    <col customWidth="1" min="4" max="4" width="45.13"/>
    <col customWidth="1" min="5" max="5" width="44.88"/>
    <col customWidth="1" min="6" max="26" width="8.63"/>
  </cols>
  <sheetData>
    <row r="1" ht="12.75" customHeight="1">
      <c r="A1" s="1" t="s">
        <v>31</v>
      </c>
      <c r="B1" s="1" t="s">
        <v>28</v>
      </c>
      <c r="C1" s="1" t="s">
        <v>32</v>
      </c>
      <c r="D1" s="1" t="s">
        <v>33</v>
      </c>
      <c r="E1" s="1" t="s">
        <v>11</v>
      </c>
    </row>
    <row r="2" ht="12.75" customHeight="1">
      <c r="A2" s="1">
        <v>2014.0</v>
      </c>
      <c r="B2" s="1">
        <v>2.913634071</v>
      </c>
      <c r="C2" s="1"/>
      <c r="D2" s="1"/>
      <c r="E2" s="1"/>
    </row>
    <row r="3" ht="12.75" customHeight="1">
      <c r="A3" s="1">
        <v>2015.0</v>
      </c>
      <c r="B3" s="1">
        <v>3.296715429</v>
      </c>
      <c r="C3" s="1"/>
      <c r="D3" s="1"/>
      <c r="E3" s="1"/>
    </row>
    <row r="4" ht="12.75" customHeight="1">
      <c r="A4" s="1">
        <v>2016.0</v>
      </c>
      <c r="B4" s="1">
        <v>4.718833182</v>
      </c>
      <c r="C4" s="1"/>
      <c r="D4" s="1"/>
      <c r="E4" s="1"/>
    </row>
    <row r="5" ht="12.75" customHeight="1">
      <c r="A5" s="1">
        <v>2017.0</v>
      </c>
      <c r="B5" s="1">
        <v>5.245866708</v>
      </c>
      <c r="C5" s="1"/>
      <c r="D5" s="1"/>
      <c r="E5" s="1"/>
    </row>
    <row r="6" ht="12.75" customHeight="1">
      <c r="A6" s="1">
        <v>2018.0</v>
      </c>
      <c r="B6" s="1">
        <v>5.995844607</v>
      </c>
      <c r="C6" s="1"/>
      <c r="D6" s="1"/>
      <c r="E6" s="1"/>
    </row>
    <row r="7" ht="12.75" customHeight="1">
      <c r="A7" s="1">
        <v>2019.0</v>
      </c>
      <c r="B7" s="1">
        <v>5.856819005</v>
      </c>
      <c r="C7" s="1"/>
      <c r="D7" s="1"/>
      <c r="E7" s="1"/>
    </row>
    <row r="8" ht="12.75" customHeight="1">
      <c r="A8" s="1">
        <v>2020.0</v>
      </c>
      <c r="B8" s="1">
        <v>5.284409051</v>
      </c>
      <c r="C8" s="1"/>
      <c r="D8" s="1"/>
      <c r="E8" s="1"/>
    </row>
    <row r="9" ht="12.75" customHeight="1">
      <c r="A9" s="1">
        <v>2021.0</v>
      </c>
      <c r="B9" s="1">
        <v>2.718918558</v>
      </c>
      <c r="C9" s="1"/>
      <c r="D9" s="1"/>
      <c r="E9" s="1"/>
    </row>
    <row r="10" ht="12.75" customHeight="1">
      <c r="A10" s="1">
        <v>2022.0</v>
      </c>
      <c r="B10" s="1">
        <v>2.418167191</v>
      </c>
      <c r="C10" s="1"/>
      <c r="D10" s="1"/>
      <c r="E10" s="1"/>
    </row>
    <row r="11" ht="12.75" customHeight="1">
      <c r="A11" s="1">
        <v>2023.0</v>
      </c>
      <c r="B11" s="1">
        <v>2.608817556</v>
      </c>
      <c r="C11" s="1"/>
      <c r="D11" s="1"/>
      <c r="E11" s="1"/>
    </row>
    <row r="12" ht="12.75" customHeight="1">
      <c r="A12" s="1">
        <v>2024.0</v>
      </c>
      <c r="B12" s="1">
        <v>2.550530235</v>
      </c>
      <c r="C12" s="1">
        <v>2.550530235</v>
      </c>
      <c r="D12" s="4">
        <v>2.550530235</v>
      </c>
      <c r="E12" s="4">
        <v>2.550530235</v>
      </c>
    </row>
    <row r="13" ht="12.75" customHeight="1">
      <c r="A13" s="1">
        <v>2025.0</v>
      </c>
      <c r="B13" s="1"/>
      <c r="C13" s="1" t="str">
        <f t="shared" ref="C13:C18" si="1">_xlfn.FORECAST.ETS(A13,$B$2:$B$12,$A$2:$A$12,1,1)</f>
        <v>#NAME?</v>
      </c>
      <c r="D13" s="4" t="str">
        <f t="shared" ref="D13:D18" si="2">C13-_xlfn.FORECAST.ETS.CONFINT(A13,$B$2:$B$12,$A$2:$A$12,0.95,1,1)</f>
        <v>#NAME?</v>
      </c>
      <c r="E13" s="4" t="str">
        <f t="shared" ref="E13:E18" si="3">C13+_xlfn.FORECAST.ETS.CONFINT(A13,$B$2:$B$12,$A$2:$A$12,0.95,1,1)</f>
        <v>#NAME?</v>
      </c>
    </row>
    <row r="14" ht="12.75" customHeight="1">
      <c r="A14" s="1">
        <v>2026.0</v>
      </c>
      <c r="B14" s="1"/>
      <c r="C14" s="1" t="str">
        <f t="shared" si="1"/>
        <v>#NAME?</v>
      </c>
      <c r="D14" s="4" t="str">
        <f t="shared" si="2"/>
        <v>#NAME?</v>
      </c>
      <c r="E14" s="4" t="str">
        <f t="shared" si="3"/>
        <v>#NAME?</v>
      </c>
    </row>
    <row r="15" ht="12.75" customHeight="1">
      <c r="A15" s="1">
        <v>2027.0</v>
      </c>
      <c r="B15" s="1"/>
      <c r="C15" s="1" t="str">
        <f t="shared" si="1"/>
        <v>#NAME?</v>
      </c>
      <c r="D15" s="4" t="str">
        <f t="shared" si="2"/>
        <v>#NAME?</v>
      </c>
      <c r="E15" s="4" t="str">
        <f t="shared" si="3"/>
        <v>#NAME?</v>
      </c>
    </row>
    <row r="16" ht="12.75" customHeight="1">
      <c r="A16" s="1">
        <v>2028.0</v>
      </c>
      <c r="B16" s="1"/>
      <c r="C16" s="1" t="str">
        <f t="shared" si="1"/>
        <v>#NAME?</v>
      </c>
      <c r="D16" s="4" t="str">
        <f t="shared" si="2"/>
        <v>#NAME?</v>
      </c>
      <c r="E16" s="4" t="str">
        <f t="shared" si="3"/>
        <v>#NAME?</v>
      </c>
    </row>
    <row r="17" ht="12.75" customHeight="1">
      <c r="A17" s="1">
        <v>2029.0</v>
      </c>
      <c r="B17" s="1"/>
      <c r="C17" s="1" t="str">
        <f t="shared" si="1"/>
        <v>#NAME?</v>
      </c>
      <c r="D17" s="4" t="str">
        <f t="shared" si="2"/>
        <v>#NAME?</v>
      </c>
      <c r="E17" s="4" t="str">
        <f t="shared" si="3"/>
        <v>#NAME?</v>
      </c>
    </row>
    <row r="18" ht="12.75" customHeight="1">
      <c r="A18" s="1">
        <v>2030.0</v>
      </c>
      <c r="B18" s="1"/>
      <c r="C18" s="1" t="str">
        <f t="shared" si="1"/>
        <v>#NAME?</v>
      </c>
      <c r="D18" s="4" t="str">
        <f t="shared" si="2"/>
        <v>#NAME?</v>
      </c>
      <c r="E18" s="4" t="str">
        <f t="shared" si="3"/>
        <v>#NAME?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25"/>
    <col customWidth="1" min="3" max="3" width="29.13"/>
    <col customWidth="1" min="4" max="4" width="44.38"/>
    <col customWidth="1" min="5" max="5" width="44.13"/>
    <col customWidth="1" min="6" max="26" width="8.63"/>
  </cols>
  <sheetData>
    <row r="1" ht="12.75" customHeight="1">
      <c r="A1" s="1" t="s">
        <v>31</v>
      </c>
      <c r="B1" s="1" t="s">
        <v>29</v>
      </c>
      <c r="C1" s="1" t="s">
        <v>34</v>
      </c>
      <c r="D1" s="1" t="s">
        <v>35</v>
      </c>
      <c r="E1" s="1" t="s">
        <v>11</v>
      </c>
    </row>
    <row r="2" ht="12.75" customHeight="1">
      <c r="A2" s="1">
        <v>2014.0</v>
      </c>
      <c r="B2" s="1">
        <v>0.4144286725</v>
      </c>
      <c r="C2" s="1"/>
      <c r="D2" s="1"/>
      <c r="E2" s="1"/>
    </row>
    <row r="3" ht="12.75" customHeight="1">
      <c r="A3" s="1">
        <v>2015.0</v>
      </c>
      <c r="B3" s="1">
        <v>0.3252260498</v>
      </c>
      <c r="C3" s="1"/>
      <c r="D3" s="1"/>
      <c r="E3" s="1"/>
    </row>
    <row r="4" ht="12.75" customHeight="1">
      <c r="A4" s="1">
        <v>2016.0</v>
      </c>
      <c r="B4" s="1">
        <v>0.372020374</v>
      </c>
      <c r="C4" s="1"/>
      <c r="D4" s="1"/>
      <c r="E4" s="1"/>
    </row>
    <row r="5" ht="12.75" customHeight="1">
      <c r="A5" s="1">
        <v>2017.0</v>
      </c>
      <c r="B5" s="1">
        <v>0.3979762068</v>
      </c>
      <c r="C5" s="1"/>
      <c r="D5" s="1"/>
      <c r="E5" s="1"/>
    </row>
    <row r="6" ht="12.75" customHeight="1">
      <c r="A6" s="1">
        <v>2018.0</v>
      </c>
      <c r="B6" s="1">
        <v>0.3174239363</v>
      </c>
      <c r="C6" s="1"/>
      <c r="D6" s="1"/>
      <c r="E6" s="1"/>
    </row>
    <row r="7" ht="12.75" customHeight="1">
      <c r="A7" s="1">
        <v>2019.0</v>
      </c>
      <c r="B7" s="1">
        <v>0.3110109568</v>
      </c>
      <c r="C7" s="1"/>
      <c r="D7" s="1"/>
      <c r="E7" s="1"/>
    </row>
    <row r="8" ht="12.75" customHeight="1">
      <c r="A8" s="1">
        <v>2020.0</v>
      </c>
      <c r="B8" s="1">
        <v>0.3128843421</v>
      </c>
      <c r="C8" s="1"/>
      <c r="D8" s="1"/>
      <c r="E8" s="1"/>
    </row>
    <row r="9" ht="12.75" customHeight="1">
      <c r="A9" s="1">
        <v>2021.0</v>
      </c>
      <c r="B9" s="1">
        <v>0.3004136383</v>
      </c>
      <c r="C9" s="1"/>
      <c r="D9" s="1"/>
      <c r="E9" s="1"/>
    </row>
    <row r="10" ht="12.75" customHeight="1">
      <c r="A10" s="1">
        <v>2022.0</v>
      </c>
      <c r="B10" s="1">
        <v>0.280561882</v>
      </c>
      <c r="C10" s="1"/>
      <c r="D10" s="1"/>
      <c r="E10" s="1"/>
    </row>
    <row r="11" ht="12.75" customHeight="1">
      <c r="A11" s="1">
        <v>2023.0</v>
      </c>
      <c r="B11" s="1">
        <v>0.3123914597</v>
      </c>
      <c r="C11" s="1"/>
      <c r="D11" s="1"/>
      <c r="E11" s="1"/>
    </row>
    <row r="12" ht="12.75" customHeight="1">
      <c r="A12" s="1">
        <v>2024.0</v>
      </c>
      <c r="B12" s="1">
        <v>0.322472223</v>
      </c>
      <c r="C12" s="1">
        <v>0.322472223</v>
      </c>
      <c r="D12" s="4">
        <v>0.322472223</v>
      </c>
      <c r="E12" s="4">
        <v>0.322472223</v>
      </c>
    </row>
    <row r="13" ht="12.75" customHeight="1">
      <c r="A13" s="1">
        <v>2025.0</v>
      </c>
      <c r="B13" s="1"/>
      <c r="C13" s="1" t="str">
        <f t="shared" ref="C13:C17" si="1">_xlfn.FORECAST.ETS(A13,$B$2:$B$12,$A$2:$A$12,1,1)</f>
        <v>#NAME?</v>
      </c>
      <c r="D13" s="4" t="str">
        <f t="shared" ref="D13:D17" si="2">C13-_xlfn.FORECAST.ETS.CONFINT(A13,$B$2:$B$12,$A$2:$A$12,0.95,1,1)</f>
        <v>#NAME?</v>
      </c>
      <c r="E13" s="4" t="str">
        <f t="shared" ref="E13:E17" si="3">C13+_xlfn.FORECAST.ETS.CONFINT(A13,$B$2:$B$12,$A$2:$A$12,0.95,1,1)</f>
        <v>#NAME?</v>
      </c>
    </row>
    <row r="14" ht="12.75" customHeight="1">
      <c r="A14" s="1">
        <v>2026.0</v>
      </c>
      <c r="B14" s="1"/>
      <c r="C14" s="1" t="str">
        <f t="shared" si="1"/>
        <v>#NAME?</v>
      </c>
      <c r="D14" s="4" t="str">
        <f t="shared" si="2"/>
        <v>#NAME?</v>
      </c>
      <c r="E14" s="4" t="str">
        <f t="shared" si="3"/>
        <v>#NAME?</v>
      </c>
    </row>
    <row r="15" ht="12.75" customHeight="1">
      <c r="A15" s="1">
        <v>2027.0</v>
      </c>
      <c r="B15" s="1"/>
      <c r="C15" s="1" t="str">
        <f t="shared" si="1"/>
        <v>#NAME?</v>
      </c>
      <c r="D15" s="4" t="str">
        <f t="shared" si="2"/>
        <v>#NAME?</v>
      </c>
      <c r="E15" s="4" t="str">
        <f t="shared" si="3"/>
        <v>#NAME?</v>
      </c>
    </row>
    <row r="16" ht="12.75" customHeight="1">
      <c r="A16" s="1">
        <v>2028.0</v>
      </c>
      <c r="B16" s="1"/>
      <c r="C16" s="1" t="str">
        <f t="shared" si="1"/>
        <v>#NAME?</v>
      </c>
      <c r="D16" s="4" t="str">
        <f t="shared" si="2"/>
        <v>#NAME?</v>
      </c>
      <c r="E16" s="4" t="str">
        <f t="shared" si="3"/>
        <v>#NAME?</v>
      </c>
    </row>
    <row r="17" ht="12.75" customHeight="1">
      <c r="A17" s="1">
        <v>2029.0</v>
      </c>
      <c r="B17" s="1"/>
      <c r="C17" s="1" t="str">
        <f t="shared" si="1"/>
        <v>#NAME?</v>
      </c>
      <c r="D17" s="4" t="str">
        <f t="shared" si="2"/>
        <v>#NAME?</v>
      </c>
      <c r="E17" s="4" t="str">
        <f t="shared" si="3"/>
        <v>#NAME?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38"/>
    <col customWidth="1" min="3" max="3" width="27.25"/>
    <col customWidth="1" min="4" max="4" width="42.63"/>
    <col customWidth="1" min="5" max="5" width="42.25"/>
    <col customWidth="1" min="6" max="26" width="8.63"/>
  </cols>
  <sheetData>
    <row r="1" ht="12.75" customHeight="1">
      <c r="A1" s="1" t="s">
        <v>31</v>
      </c>
      <c r="B1" s="1" t="s">
        <v>30</v>
      </c>
      <c r="C1" s="1" t="s">
        <v>36</v>
      </c>
      <c r="D1" s="1" t="s">
        <v>37</v>
      </c>
      <c r="E1" s="1" t="s">
        <v>11</v>
      </c>
    </row>
    <row r="2" ht="12.75" customHeight="1">
      <c r="A2" s="1">
        <v>2014.0</v>
      </c>
      <c r="B2" s="1">
        <v>0.2207094817</v>
      </c>
      <c r="C2" s="1"/>
      <c r="D2" s="1"/>
      <c r="E2" s="1"/>
    </row>
    <row r="3" ht="12.75" customHeight="1">
      <c r="A3" s="1">
        <v>2015.0</v>
      </c>
      <c r="B3" s="1">
        <v>0.5853114459</v>
      </c>
      <c r="C3" s="1"/>
      <c r="D3" s="1"/>
      <c r="E3" s="1"/>
    </row>
    <row r="4" ht="12.75" customHeight="1">
      <c r="A4" s="1">
        <v>2016.0</v>
      </c>
      <c r="B4" s="1">
        <v>0.4613075378</v>
      </c>
      <c r="C4" s="1"/>
      <c r="D4" s="1"/>
      <c r="E4" s="1"/>
    </row>
    <row r="5" ht="12.75" customHeight="1">
      <c r="A5" s="1">
        <v>2017.0</v>
      </c>
      <c r="B5" s="1">
        <v>0.8924782834</v>
      </c>
      <c r="C5" s="1"/>
      <c r="D5" s="1"/>
      <c r="E5" s="1"/>
    </row>
    <row r="6" ht="12.75" customHeight="1">
      <c r="A6" s="1">
        <v>2018.0</v>
      </c>
      <c r="B6" s="1">
        <v>0.8489868922</v>
      </c>
      <c r="C6" s="1"/>
      <c r="D6" s="1"/>
      <c r="E6" s="1"/>
    </row>
    <row r="7" ht="12.75" customHeight="1">
      <c r="A7" s="1">
        <v>2019.0</v>
      </c>
      <c r="B7" s="1">
        <v>0.2389107046</v>
      </c>
      <c r="C7" s="1"/>
      <c r="D7" s="1"/>
      <c r="E7" s="1"/>
    </row>
    <row r="8" ht="12.75" customHeight="1">
      <c r="A8" s="1">
        <v>2020.0</v>
      </c>
      <c r="B8" s="1">
        <v>0.03256675206</v>
      </c>
      <c r="C8" s="1"/>
      <c r="D8" s="1"/>
      <c r="E8" s="1"/>
    </row>
    <row r="9" ht="12.75" customHeight="1">
      <c r="A9" s="1">
        <v>2021.0</v>
      </c>
      <c r="B9" s="1">
        <v>1.611791906</v>
      </c>
      <c r="C9" s="1"/>
      <c r="D9" s="1"/>
      <c r="E9" s="1"/>
    </row>
    <row r="10" ht="12.75" customHeight="1">
      <c r="A10" s="1">
        <v>2022.0</v>
      </c>
      <c r="B10" s="1">
        <v>1.43206038</v>
      </c>
      <c r="C10" s="1"/>
      <c r="D10" s="1"/>
      <c r="E10" s="1"/>
    </row>
    <row r="11" ht="12.75" customHeight="1">
      <c r="A11" s="1">
        <v>2023.0</v>
      </c>
      <c r="B11" s="1">
        <v>0.2624747528</v>
      </c>
      <c r="C11" s="1"/>
      <c r="D11" s="1"/>
      <c r="E11" s="1"/>
    </row>
    <row r="12" ht="12.75" customHeight="1">
      <c r="A12" s="1">
        <v>2024.0</v>
      </c>
      <c r="B12" s="1">
        <v>0.2528564448</v>
      </c>
      <c r="C12" s="1">
        <v>0.2528564448</v>
      </c>
      <c r="D12" s="4">
        <v>0.2528564448</v>
      </c>
      <c r="E12" s="4">
        <v>0.2528564448</v>
      </c>
    </row>
    <row r="13" ht="12.75" customHeight="1">
      <c r="A13" s="1">
        <v>2025.0</v>
      </c>
      <c r="B13" s="1"/>
      <c r="C13" s="1" t="str">
        <f t="shared" ref="C13:C17" si="1">_xlfn.FORECAST.ETS(A13,$B$2:$B$12,$A$2:$A$12,1,1)</f>
        <v>#NAME?</v>
      </c>
      <c r="D13" s="4" t="str">
        <f t="shared" ref="D13:D17" si="2">C13-_xlfn.FORECAST.ETS.CONFINT(A13,$B$2:$B$12,$A$2:$A$12,0.95,1,1)</f>
        <v>#NAME?</v>
      </c>
      <c r="E13" s="4" t="str">
        <f t="shared" ref="E13:E17" si="3">C13+_xlfn.FORECAST.ETS.CONFINT(A13,$B$2:$B$12,$A$2:$A$12,0.95,1,1)</f>
        <v>#NAME?</v>
      </c>
    </row>
    <row r="14" ht="12.75" customHeight="1">
      <c r="A14" s="1">
        <v>2026.0</v>
      </c>
      <c r="B14" s="1"/>
      <c r="C14" s="1" t="str">
        <f t="shared" si="1"/>
        <v>#NAME?</v>
      </c>
      <c r="D14" s="4" t="str">
        <f t="shared" si="2"/>
        <v>#NAME?</v>
      </c>
      <c r="E14" s="4" t="str">
        <f t="shared" si="3"/>
        <v>#NAME?</v>
      </c>
    </row>
    <row r="15" ht="12.75" customHeight="1">
      <c r="A15" s="1">
        <v>2027.0</v>
      </c>
      <c r="B15" s="1"/>
      <c r="C15" s="1" t="str">
        <f t="shared" si="1"/>
        <v>#NAME?</v>
      </c>
      <c r="D15" s="4" t="str">
        <f t="shared" si="2"/>
        <v>#NAME?</v>
      </c>
      <c r="E15" s="4" t="str">
        <f t="shared" si="3"/>
        <v>#NAME?</v>
      </c>
    </row>
    <row r="16" ht="12.75" customHeight="1">
      <c r="A16" s="1">
        <v>2028.0</v>
      </c>
      <c r="B16" s="1"/>
      <c r="C16" s="1" t="str">
        <f t="shared" si="1"/>
        <v>#NAME?</v>
      </c>
      <c r="D16" s="4" t="str">
        <f t="shared" si="2"/>
        <v>#NAME?</v>
      </c>
      <c r="E16" s="4" t="str">
        <f t="shared" si="3"/>
        <v>#NAME?</v>
      </c>
    </row>
    <row r="17" ht="12.75" customHeight="1">
      <c r="A17" s="1">
        <v>2029.0</v>
      </c>
      <c r="B17" s="1"/>
      <c r="C17" s="1" t="str">
        <f t="shared" si="1"/>
        <v>#NAME?</v>
      </c>
      <c r="D17" s="4" t="str">
        <f t="shared" si="2"/>
        <v>#NAME?</v>
      </c>
      <c r="E17" s="4" t="str">
        <f t="shared" si="3"/>
        <v>#NAME?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75"/>
    <col customWidth="1" min="3" max="3" width="17.25"/>
    <col customWidth="1" min="4" max="4" width="17.75"/>
    <col customWidth="1" min="5" max="5" width="15.0"/>
    <col customWidth="1" min="6" max="6" width="13.88"/>
    <col customWidth="1" min="7" max="7" width="13.13"/>
    <col customWidth="1" min="8" max="12" width="11.63"/>
    <col customWidth="1" min="13" max="26" width="8.63"/>
  </cols>
  <sheetData>
    <row r="1" ht="12.75" customHeight="1">
      <c r="A1" s="24" t="s">
        <v>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6"/>
      <c r="V1" s="27"/>
      <c r="W1" s="27"/>
      <c r="X1" s="27"/>
      <c r="Y1" s="27"/>
      <c r="Z1" s="27"/>
    </row>
    <row r="2" ht="12.75" customHeight="1">
      <c r="A2" s="28" t="s">
        <v>31</v>
      </c>
      <c r="B2" s="29" t="s">
        <v>16</v>
      </c>
      <c r="C2" s="29" t="s">
        <v>8</v>
      </c>
      <c r="D2" s="29" t="s">
        <v>19</v>
      </c>
      <c r="E2" s="29" t="s">
        <v>5</v>
      </c>
      <c r="F2" s="29" t="s">
        <v>12</v>
      </c>
      <c r="G2" s="29" t="s">
        <v>1</v>
      </c>
      <c r="H2" s="30" t="s">
        <v>27</v>
      </c>
      <c r="I2" s="30" t="s">
        <v>28</v>
      </c>
      <c r="J2" s="30" t="s">
        <v>29</v>
      </c>
      <c r="K2" s="30" t="s">
        <v>30</v>
      </c>
      <c r="L2" s="30" t="s">
        <v>22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2.75" customHeight="1">
      <c r="A3" s="27">
        <v>2014.0</v>
      </c>
      <c r="B3" s="32">
        <v>1.75543168E8</v>
      </c>
      <c r="C3" s="32">
        <v>1.30688906E8</v>
      </c>
      <c r="D3" s="32">
        <v>4.4854262E7</v>
      </c>
      <c r="E3" s="32">
        <v>3107906.0</v>
      </c>
      <c r="F3" s="32">
        <v>5835750.0</v>
      </c>
      <c r="G3" s="32">
        <v>1.4081434E7</v>
      </c>
      <c r="H3" s="27">
        <v>1.343213999</v>
      </c>
      <c r="I3" s="27">
        <v>2.913634071</v>
      </c>
      <c r="J3" s="27">
        <v>0.4144286725</v>
      </c>
      <c r="K3" s="27">
        <v>0.2207094817</v>
      </c>
      <c r="L3" s="27">
        <v>0.08021636023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2.75" customHeight="1">
      <c r="A4" s="27">
        <v>2015.0</v>
      </c>
      <c r="B4" s="32">
        <v>2.46063225E8</v>
      </c>
      <c r="C4" s="32">
        <v>1.88795475E8</v>
      </c>
      <c r="D4" s="32">
        <v>5.726775E7</v>
      </c>
      <c r="E4" s="32">
        <v>6279707.0</v>
      </c>
      <c r="F4" s="32">
        <v>3489295.0</v>
      </c>
      <c r="G4" s="32">
        <v>1.072883E7</v>
      </c>
      <c r="H4" s="27">
        <v>1.303332217</v>
      </c>
      <c r="I4" s="27">
        <v>3.296715429</v>
      </c>
      <c r="J4" s="27">
        <v>0.3252260498</v>
      </c>
      <c r="K4" s="27">
        <v>0.5853114459</v>
      </c>
      <c r="L4" s="27">
        <v>0.04360192386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2.75" customHeight="1">
      <c r="A5" s="27">
        <v>2016.0</v>
      </c>
      <c r="B5" s="32">
        <v>3.79594558E8</v>
      </c>
      <c r="C5" s="32">
        <v>3.13218333E8</v>
      </c>
      <c r="D5" s="32">
        <v>6.6376225E7</v>
      </c>
      <c r="E5" s="32">
        <v>9331387.0</v>
      </c>
      <c r="F5" s="32">
        <v>7525275.0</v>
      </c>
      <c r="G5" s="32">
        <v>2.0228126E7</v>
      </c>
      <c r="H5" s="27">
        <v>1.211916794</v>
      </c>
      <c r="I5" s="27">
        <v>4.718833182</v>
      </c>
      <c r="J5" s="27">
        <v>0.372020374</v>
      </c>
      <c r="K5" s="27">
        <v>0.4613075378</v>
      </c>
      <c r="L5" s="27">
        <v>0.05328876712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2.75" customHeight="1">
      <c r="A6" s="27">
        <v>2017.0</v>
      </c>
      <c r="B6" s="32">
        <v>6.4092484E8</v>
      </c>
      <c r="C6" s="32">
        <v>5.38309003E8</v>
      </c>
      <c r="D6" s="32">
        <v>1.02615837E8</v>
      </c>
      <c r="E6" s="32">
        <v>2.0920612E7</v>
      </c>
      <c r="F6" s="32">
        <v>9328973.0</v>
      </c>
      <c r="G6" s="32">
        <v>2.3441032E7</v>
      </c>
      <c r="H6" s="27">
        <v>1.190626269</v>
      </c>
      <c r="I6" s="27">
        <v>5.245866708</v>
      </c>
      <c r="J6" s="27">
        <v>0.3979762068</v>
      </c>
      <c r="K6" s="27">
        <v>0.8924782834</v>
      </c>
      <c r="L6" s="27">
        <v>0.03657376113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2.75" customHeight="1">
      <c r="A7" s="27">
        <v>2018.0</v>
      </c>
      <c r="B7" s="32">
        <v>8.22239491E8</v>
      </c>
      <c r="C7" s="32">
        <v>7.04706936E8</v>
      </c>
      <c r="D7" s="32">
        <v>1.17532555E8</v>
      </c>
      <c r="E7" s="32">
        <v>1.9189503E7</v>
      </c>
      <c r="F7" s="32">
        <v>7174678.0</v>
      </c>
      <c r="G7" s="32">
        <v>2.2602826E7</v>
      </c>
      <c r="H7" s="27">
        <v>1.166782174</v>
      </c>
      <c r="I7" s="27">
        <v>5.995844607</v>
      </c>
      <c r="J7" s="27">
        <v>0.3174239363</v>
      </c>
      <c r="K7" s="27">
        <v>0.8489868922</v>
      </c>
      <c r="L7" s="27">
        <v>0.02748934617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2.75" customHeight="1">
      <c r="A8" s="27">
        <v>2019.0</v>
      </c>
      <c r="B8" s="32">
        <v>1.043747286E9</v>
      </c>
      <c r="C8" s="32">
        <v>8.91526951E8</v>
      </c>
      <c r="D8" s="32">
        <v>1.52220335E8</v>
      </c>
      <c r="E8" s="32">
        <v>5932924.0</v>
      </c>
      <c r="F8" s="32">
        <v>7723406.0</v>
      </c>
      <c r="G8" s="32">
        <v>2.4833228E7</v>
      </c>
      <c r="H8" s="27">
        <v>1.170741148</v>
      </c>
      <c r="I8" s="27">
        <v>5.856819005</v>
      </c>
      <c r="J8" s="27">
        <v>0.3110109568</v>
      </c>
      <c r="K8" s="27">
        <v>0.2389107046</v>
      </c>
      <c r="L8" s="27">
        <v>0.02379237612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2.75" customHeight="1">
      <c r="A9" s="27">
        <v>2020.0</v>
      </c>
      <c r="B9" s="32">
        <v>1.335918925E9</v>
      </c>
      <c r="C9" s="32">
        <v>1.123342227E9</v>
      </c>
      <c r="D9" s="32">
        <v>2.12576698E8</v>
      </c>
      <c r="E9" s="32">
        <v>812369.0</v>
      </c>
      <c r="F9" s="32">
        <v>7804817.0</v>
      </c>
      <c r="G9" s="32">
        <v>2.4944735E7</v>
      </c>
      <c r="H9" s="27">
        <v>1.189235918</v>
      </c>
      <c r="I9" s="27">
        <v>5.284409051</v>
      </c>
      <c r="J9" s="27">
        <v>0.3128843421</v>
      </c>
      <c r="K9" s="27">
        <v>0.03256675206</v>
      </c>
      <c r="L9" s="27">
        <v>0.01867234196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2.75" customHeight="1">
      <c r="A10" s="27">
        <v>2021.0</v>
      </c>
      <c r="B10" s="32">
        <v>8.74943528E8</v>
      </c>
      <c r="C10" s="32">
        <v>6.3967526E8</v>
      </c>
      <c r="D10" s="32">
        <v>2.35268268E8</v>
      </c>
      <c r="E10" s="32">
        <v>5.3232532E7</v>
      </c>
      <c r="F10" s="32">
        <v>9921739.0</v>
      </c>
      <c r="G10" s="32">
        <v>3.3026926E7</v>
      </c>
      <c r="H10" s="27">
        <v>1.367793289</v>
      </c>
      <c r="I10" s="27">
        <v>2.718918558</v>
      </c>
      <c r="J10" s="27">
        <v>0.3004136383</v>
      </c>
      <c r="K10" s="27">
        <v>1.611791906</v>
      </c>
      <c r="L10" s="27">
        <v>0.03774749449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2.75" customHeight="1">
      <c r="A11" s="27">
        <v>2022.0</v>
      </c>
      <c r="B11" s="32">
        <v>1.371469219E9</v>
      </c>
      <c r="C11" s="32">
        <v>9.70239805E8</v>
      </c>
      <c r="D11" s="32">
        <v>4.01229414E8</v>
      </c>
      <c r="E11" s="32">
        <v>7.7596153E7</v>
      </c>
      <c r="F11" s="32">
        <v>1.5202238E7</v>
      </c>
      <c r="G11" s="32">
        <v>5.4184973E7</v>
      </c>
      <c r="H11" s="27">
        <v>1.413536336</v>
      </c>
      <c r="I11" s="27">
        <v>2.418167191</v>
      </c>
      <c r="J11" s="27">
        <v>0.280561882</v>
      </c>
      <c r="K11" s="27">
        <v>1.43206038</v>
      </c>
      <c r="L11" s="27">
        <v>0.03950870515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2.75" customHeight="1">
      <c r="A12" s="27">
        <v>2023.0</v>
      </c>
      <c r="B12" s="32">
        <v>1.566132308E9</v>
      </c>
      <c r="C12" s="32">
        <v>1.132158497E9</v>
      </c>
      <c r="D12" s="32">
        <v>4.33973811E8</v>
      </c>
      <c r="E12" s="32">
        <v>2.1670771E7</v>
      </c>
      <c r="F12" s="32">
        <v>2.5792057E7</v>
      </c>
      <c r="G12" s="32">
        <v>8.2563259E7</v>
      </c>
      <c r="H12" s="27">
        <v>1.383315421</v>
      </c>
      <c r="I12" s="27">
        <v>2.608817556</v>
      </c>
      <c r="J12" s="27">
        <v>0.3123914597</v>
      </c>
      <c r="K12" s="27">
        <v>0.2624747528</v>
      </c>
      <c r="L12" s="27">
        <v>0.05271793359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2.75" customHeight="1">
      <c r="A13" s="27">
        <v>2024.0</v>
      </c>
      <c r="B13" s="32">
        <v>1.735118871E9</v>
      </c>
      <c r="C13" s="32">
        <v>1.246425984E9</v>
      </c>
      <c r="D13" s="32">
        <v>4.88692887E8</v>
      </c>
      <c r="E13" s="32">
        <v>2.1729742E7</v>
      </c>
      <c r="F13" s="32">
        <v>2.7712318E7</v>
      </c>
      <c r="G13" s="32">
        <v>8.593707E7</v>
      </c>
      <c r="H13" s="27">
        <v>1.392075336</v>
      </c>
      <c r="I13" s="27">
        <v>2.550530235</v>
      </c>
      <c r="J13" s="27">
        <v>0.322472223</v>
      </c>
      <c r="K13" s="27">
        <v>0.2528564448</v>
      </c>
      <c r="L13" s="27">
        <v>0.04952805911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U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4.25"/>
    <col customWidth="1" min="3" max="3" width="18.0"/>
    <col customWidth="1" min="4" max="5" width="12.38"/>
    <col customWidth="1" min="6" max="7" width="11.25"/>
    <col customWidth="1" min="8" max="8" width="9.25"/>
    <col customWidth="1" min="9" max="9" width="10.13"/>
    <col customWidth="1" min="10" max="10" width="9.25"/>
    <col customWidth="1" min="11" max="14" width="13.13"/>
    <col customWidth="1" min="15" max="18" width="9.25"/>
    <col customWidth="1" min="19" max="19" width="11.25"/>
    <col customWidth="1" min="20" max="21" width="9.25"/>
    <col customWidth="1" min="22" max="37" width="8.63"/>
  </cols>
  <sheetData>
    <row r="1" ht="12.75" customHeight="1">
      <c r="A1" s="33" t="s">
        <v>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6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ht="57.0" customHeight="1">
      <c r="A2" s="35" t="s">
        <v>0</v>
      </c>
      <c r="B2" s="36" t="s">
        <v>16</v>
      </c>
      <c r="C2" s="37" t="s">
        <v>39</v>
      </c>
      <c r="D2" s="37" t="s">
        <v>8</v>
      </c>
      <c r="E2" s="37" t="s">
        <v>19</v>
      </c>
      <c r="F2" s="37" t="s">
        <v>40</v>
      </c>
      <c r="G2" s="37" t="s">
        <v>5</v>
      </c>
      <c r="H2" s="37" t="s">
        <v>41</v>
      </c>
      <c r="I2" s="37" t="s">
        <v>1</v>
      </c>
      <c r="J2" s="38" t="s">
        <v>30</v>
      </c>
      <c r="K2" s="38" t="s">
        <v>42</v>
      </c>
      <c r="L2" s="38" t="s">
        <v>27</v>
      </c>
      <c r="M2" s="38" t="s">
        <v>43</v>
      </c>
      <c r="N2" s="38" t="s">
        <v>29</v>
      </c>
      <c r="O2" s="37" t="s">
        <v>44</v>
      </c>
      <c r="P2" s="37" t="s">
        <v>45</v>
      </c>
      <c r="Q2" s="37" t="s">
        <v>46</v>
      </c>
      <c r="R2" s="37" t="s">
        <v>47</v>
      </c>
      <c r="S2" s="37" t="s">
        <v>48</v>
      </c>
      <c r="T2" s="37" t="s">
        <v>49</v>
      </c>
      <c r="U2" s="37" t="s">
        <v>50</v>
      </c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ht="12.75" customHeight="1">
      <c r="A3" s="39" t="s">
        <v>51</v>
      </c>
      <c r="B3" s="40">
        <v>4.9244122E7</v>
      </c>
      <c r="C3" s="41">
        <v>3.2624978E7</v>
      </c>
      <c r="D3" s="42">
        <v>1.5096577E7</v>
      </c>
      <c r="E3" s="43">
        <v>3.4147545E7</v>
      </c>
      <c r="F3" s="43">
        <v>2335149.0</v>
      </c>
      <c r="G3" s="43">
        <v>166999.0</v>
      </c>
      <c r="H3" s="44">
        <v>0.0</v>
      </c>
      <c r="I3" s="44">
        <v>0.0</v>
      </c>
      <c r="J3" s="44">
        <v>0.0</v>
      </c>
      <c r="K3" s="44">
        <v>0.0</v>
      </c>
      <c r="L3" s="44">
        <v>3.261939577</v>
      </c>
      <c r="M3" s="44">
        <v>0.4420984583</v>
      </c>
      <c r="N3" s="44">
        <v>0.0</v>
      </c>
      <c r="O3" s="45">
        <v>87.0</v>
      </c>
      <c r="P3" s="45">
        <v>86.81</v>
      </c>
      <c r="Q3" s="45">
        <v>102.0</v>
      </c>
      <c r="R3" s="45">
        <v>75.0</v>
      </c>
      <c r="S3" s="46">
        <v>3007110.0</v>
      </c>
      <c r="T3" s="45">
        <v>7.05</v>
      </c>
      <c r="U3" s="45">
        <v>3.19</v>
      </c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</row>
    <row r="4" ht="12.75" customHeight="1">
      <c r="A4" s="39" t="s">
        <v>52</v>
      </c>
      <c r="B4" s="40">
        <v>5.0095282E7</v>
      </c>
      <c r="C4" s="41">
        <v>3.2724978E7</v>
      </c>
      <c r="D4" s="42">
        <v>1.5897338E7</v>
      </c>
      <c r="E4" s="43">
        <v>3.4197944E7</v>
      </c>
      <c r="F4" s="43">
        <v>576248.0</v>
      </c>
      <c r="G4" s="43">
        <v>44398.0</v>
      </c>
      <c r="H4" s="44">
        <v>0.0</v>
      </c>
      <c r="I4" s="44">
        <v>0.0</v>
      </c>
      <c r="J4" s="44">
        <v>0.0</v>
      </c>
      <c r="K4" s="44">
        <v>0.0</v>
      </c>
      <c r="L4" s="44">
        <v>3.151174241</v>
      </c>
      <c r="M4" s="44">
        <v>0.4648623906</v>
      </c>
      <c r="N4" s="44">
        <v>0.0</v>
      </c>
      <c r="O4" s="48"/>
      <c r="P4" s="48"/>
      <c r="Q4" s="48"/>
      <c r="R4" s="48"/>
      <c r="S4" s="48"/>
      <c r="T4" s="48"/>
      <c r="U4" s="48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ht="12.75" customHeight="1">
      <c r="A5" s="39" t="s">
        <v>53</v>
      </c>
      <c r="B5" s="40">
        <v>5.5223447E7</v>
      </c>
      <c r="C5" s="41">
        <v>3.2892909E7</v>
      </c>
      <c r="D5" s="42">
        <v>2.0729973E7</v>
      </c>
      <c r="E5" s="43">
        <v>3.4493474E7</v>
      </c>
      <c r="F5" s="43">
        <v>655176.0</v>
      </c>
      <c r="G5" s="43">
        <v>21773.0</v>
      </c>
      <c r="H5" s="44">
        <v>0.0</v>
      </c>
      <c r="I5" s="44">
        <v>0.0</v>
      </c>
      <c r="J5" s="44">
        <v>0.0</v>
      </c>
      <c r="K5" s="44">
        <v>0.0</v>
      </c>
      <c r="L5" s="44">
        <v>2.663942061</v>
      </c>
      <c r="M5" s="44">
        <v>0.6009824641</v>
      </c>
      <c r="N5" s="44">
        <v>0.0</v>
      </c>
      <c r="O5" s="48"/>
      <c r="P5" s="48"/>
      <c r="Q5" s="48"/>
      <c r="R5" s="48"/>
      <c r="S5" s="48"/>
      <c r="T5" s="48"/>
      <c r="U5" s="48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</row>
    <row r="6" ht="12.75" customHeight="1">
      <c r="A6" s="39" t="s">
        <v>54</v>
      </c>
      <c r="B6" s="40">
        <v>5.3202001E7</v>
      </c>
      <c r="C6" s="41">
        <v>3.3290562E7</v>
      </c>
      <c r="D6" s="42">
        <v>1.8667801E7</v>
      </c>
      <c r="E6" s="43">
        <v>3.45342E7</v>
      </c>
      <c r="F6" s="43">
        <v>622202.0</v>
      </c>
      <c r="G6" s="49">
        <v>12572.0</v>
      </c>
      <c r="H6" s="44">
        <v>0.0</v>
      </c>
      <c r="I6" s="44">
        <v>0.0</v>
      </c>
      <c r="J6" s="44">
        <v>0.0</v>
      </c>
      <c r="K6" s="44">
        <v>0.0</v>
      </c>
      <c r="L6" s="44">
        <v>2.849934012</v>
      </c>
      <c r="M6" s="44">
        <v>0.5405598219</v>
      </c>
      <c r="N6" s="44">
        <v>0.0</v>
      </c>
      <c r="O6" s="50"/>
      <c r="P6" s="50"/>
      <c r="Q6" s="50"/>
      <c r="R6" s="50"/>
      <c r="S6" s="50"/>
      <c r="T6" s="50"/>
      <c r="U6" s="50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</row>
    <row r="7" ht="12.75" customHeight="1">
      <c r="A7" s="39" t="s">
        <v>55</v>
      </c>
      <c r="B7" s="51">
        <v>6.2609264E7</v>
      </c>
      <c r="C7" s="52">
        <v>4.2118683E7</v>
      </c>
      <c r="D7" s="42">
        <v>2.7712895E7</v>
      </c>
      <c r="E7" s="43">
        <v>3.4896369E7</v>
      </c>
      <c r="F7" s="43">
        <v>1060752.0</v>
      </c>
      <c r="G7" s="49">
        <v>424869.0</v>
      </c>
      <c r="H7" s="44">
        <v>0.0</v>
      </c>
      <c r="I7" s="44">
        <v>0.0</v>
      </c>
      <c r="J7" s="44">
        <v>0.0</v>
      </c>
      <c r="K7" s="44">
        <v>0.0</v>
      </c>
      <c r="L7" s="44">
        <v>2.259210523</v>
      </c>
      <c r="M7" s="44">
        <v>0.7941483826</v>
      </c>
      <c r="N7" s="44">
        <v>0.0</v>
      </c>
      <c r="O7" s="45">
        <v>85.0</v>
      </c>
      <c r="P7" s="45">
        <v>95.16</v>
      </c>
      <c r="Q7" s="45">
        <v>116.2</v>
      </c>
      <c r="R7" s="45">
        <v>75.0</v>
      </c>
      <c r="S7" s="46">
        <v>7002720.0</v>
      </c>
      <c r="T7" s="45">
        <v>13.16</v>
      </c>
      <c r="U7" s="45">
        <v>11.37</v>
      </c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</row>
    <row r="8" ht="12.75" customHeight="1">
      <c r="A8" s="39" t="s">
        <v>56</v>
      </c>
      <c r="B8" s="40">
        <v>6.8564134E7</v>
      </c>
      <c r="C8" s="41">
        <v>4.212605E7</v>
      </c>
      <c r="D8" s="42">
        <v>3.3487071E7</v>
      </c>
      <c r="E8" s="43">
        <v>3.5077063E7</v>
      </c>
      <c r="F8" s="43">
        <v>865872.0</v>
      </c>
      <c r="G8" s="43">
        <v>95842.0</v>
      </c>
      <c r="H8" s="44">
        <v>0.0</v>
      </c>
      <c r="I8" s="44">
        <v>0.0</v>
      </c>
      <c r="J8" s="44">
        <v>0.0</v>
      </c>
      <c r="K8" s="44">
        <v>0.0</v>
      </c>
      <c r="L8" s="44">
        <v>2.047480773</v>
      </c>
      <c r="M8" s="44">
        <v>0.9546714615</v>
      </c>
      <c r="N8" s="44">
        <v>0.0</v>
      </c>
      <c r="O8" s="48"/>
      <c r="P8" s="48"/>
      <c r="Q8" s="48"/>
      <c r="R8" s="48"/>
      <c r="S8" s="48"/>
      <c r="T8" s="48"/>
      <c r="U8" s="48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ht="12.75" customHeight="1">
      <c r="A9" s="39" t="s">
        <v>57</v>
      </c>
      <c r="B9" s="40">
        <v>7.2552852E7</v>
      </c>
      <c r="C9" s="41">
        <v>4.2126053E7</v>
      </c>
      <c r="D9" s="42">
        <v>3.7469167E7</v>
      </c>
      <c r="E9" s="43">
        <v>3.5083685E7</v>
      </c>
      <c r="F9" s="43">
        <v>865872.0</v>
      </c>
      <c r="G9" s="43">
        <v>34775.0</v>
      </c>
      <c r="H9" s="44">
        <v>0.0</v>
      </c>
      <c r="I9" s="44">
        <v>0.0</v>
      </c>
      <c r="J9" s="44">
        <v>0.0</v>
      </c>
      <c r="K9" s="44">
        <v>0.0</v>
      </c>
      <c r="L9" s="44">
        <v>1.9363348</v>
      </c>
      <c r="M9" s="44">
        <v>1.067994055</v>
      </c>
      <c r="N9" s="44">
        <v>0.0</v>
      </c>
      <c r="O9" s="48"/>
      <c r="P9" s="48"/>
      <c r="Q9" s="48"/>
      <c r="R9" s="48"/>
      <c r="S9" s="48"/>
      <c r="T9" s="48"/>
      <c r="U9" s="48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</row>
    <row r="10" ht="12.75" customHeight="1">
      <c r="A10" s="39" t="s">
        <v>58</v>
      </c>
      <c r="B10" s="40">
        <v>8.1371931E7</v>
      </c>
      <c r="C10" s="41">
        <v>4.2315931E7</v>
      </c>
      <c r="D10" s="42">
        <v>4.623938E7</v>
      </c>
      <c r="E10" s="43">
        <v>3.5132551E7</v>
      </c>
      <c r="F10" s="43">
        <v>1.6571252E7</v>
      </c>
      <c r="G10" s="43">
        <v>38187.0</v>
      </c>
      <c r="H10" s="44">
        <v>0.0</v>
      </c>
      <c r="I10" s="44">
        <v>0.0</v>
      </c>
      <c r="J10" s="44">
        <v>0.0</v>
      </c>
      <c r="K10" s="44">
        <v>0.0</v>
      </c>
      <c r="L10" s="44">
        <v>1.75979719</v>
      </c>
      <c r="M10" s="44">
        <v>1.316140692</v>
      </c>
      <c r="N10" s="44">
        <v>0.0</v>
      </c>
      <c r="O10" s="50"/>
      <c r="P10" s="50"/>
      <c r="Q10" s="50"/>
      <c r="R10" s="50"/>
      <c r="S10" s="50"/>
      <c r="T10" s="50"/>
      <c r="U10" s="50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</row>
    <row r="11" ht="12.75" customHeight="1">
      <c r="A11" s="39" t="s">
        <v>59</v>
      </c>
      <c r="B11" s="40">
        <v>7.5493922E7</v>
      </c>
      <c r="C11" s="41">
        <v>4.2615931E7</v>
      </c>
      <c r="D11" s="42">
        <v>3.9992486E7</v>
      </c>
      <c r="E11" s="43">
        <v>3.5501436E7</v>
      </c>
      <c r="F11" s="43">
        <v>1854049.0</v>
      </c>
      <c r="G11" s="43">
        <v>519975.0</v>
      </c>
      <c r="H11" s="44">
        <v>0.0</v>
      </c>
      <c r="I11" s="44">
        <v>0.0</v>
      </c>
      <c r="J11" s="44">
        <v>0.0</v>
      </c>
      <c r="K11" s="44">
        <v>0.0</v>
      </c>
      <c r="L11" s="44">
        <v>1.887702655</v>
      </c>
      <c r="M11" s="44">
        <v>1.126503334</v>
      </c>
      <c r="N11" s="44">
        <v>0.0</v>
      </c>
      <c r="O11" s="45">
        <v>89.0</v>
      </c>
      <c r="P11" s="45">
        <v>81.44</v>
      </c>
      <c r="Q11" s="45">
        <v>94.5</v>
      </c>
      <c r="R11" s="45">
        <v>64.1</v>
      </c>
      <c r="S11" s="46">
        <v>8813340.0</v>
      </c>
      <c r="T11" s="45">
        <v>25.84</v>
      </c>
      <c r="U11" s="45">
        <v>17.93</v>
      </c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</row>
    <row r="12" ht="12.75" customHeight="1">
      <c r="A12" s="39" t="s">
        <v>60</v>
      </c>
      <c r="B12" s="40">
        <v>8.1510556E7</v>
      </c>
      <c r="C12" s="41">
        <v>4.2615931E7</v>
      </c>
      <c r="D12" s="42">
        <v>4.571737E7</v>
      </c>
      <c r="E12" s="43">
        <v>3.5793186E7</v>
      </c>
      <c r="F12" s="43">
        <v>1658272.0</v>
      </c>
      <c r="G12" s="43">
        <v>275298.0</v>
      </c>
      <c r="H12" s="44">
        <v>0.0</v>
      </c>
      <c r="I12" s="44">
        <v>0.0</v>
      </c>
      <c r="J12" s="44">
        <v>0.0</v>
      </c>
      <c r="K12" s="44">
        <v>0.0</v>
      </c>
      <c r="L12" s="44">
        <v>1.782923121</v>
      </c>
      <c r="M12" s="44">
        <v>1.277264617</v>
      </c>
      <c r="N12" s="44">
        <v>0.0</v>
      </c>
      <c r="O12" s="48"/>
      <c r="P12" s="48"/>
      <c r="Q12" s="48"/>
      <c r="R12" s="48"/>
      <c r="S12" s="48"/>
      <c r="T12" s="48"/>
      <c r="U12" s="48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</row>
    <row r="13" ht="12.75" customHeight="1">
      <c r="A13" s="39" t="s">
        <v>61</v>
      </c>
      <c r="B13" s="40">
        <v>8.6037017E7</v>
      </c>
      <c r="C13" s="41">
        <v>4.2608567E7</v>
      </c>
      <c r="D13" s="42">
        <v>4.9906467E7</v>
      </c>
      <c r="E13" s="43">
        <v>3.613055E7</v>
      </c>
      <c r="F13" s="43">
        <v>1889052.0</v>
      </c>
      <c r="G13" s="43">
        <v>310130.0</v>
      </c>
      <c r="H13" s="44">
        <v>0.0</v>
      </c>
      <c r="I13" s="44">
        <v>0.0</v>
      </c>
      <c r="J13" s="44">
        <v>0.0</v>
      </c>
      <c r="K13" s="44">
        <v>0.0</v>
      </c>
      <c r="L13" s="44">
        <v>1.723965293</v>
      </c>
      <c r="M13" s="44">
        <v>1.381281685</v>
      </c>
      <c r="N13" s="44">
        <v>0.0</v>
      </c>
      <c r="O13" s="48"/>
      <c r="P13" s="48"/>
      <c r="Q13" s="48"/>
      <c r="R13" s="48"/>
      <c r="S13" s="48"/>
      <c r="T13" s="48"/>
      <c r="U13" s="48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</row>
    <row r="14" ht="12.75" customHeight="1">
      <c r="A14" s="39" t="s">
        <v>62</v>
      </c>
      <c r="B14" s="40">
        <v>8.9004594E7</v>
      </c>
      <c r="C14" s="41">
        <v>4.3515934E7</v>
      </c>
      <c r="D14" s="42">
        <v>5.2657692E7</v>
      </c>
      <c r="E14" s="43">
        <v>3.6346902E7</v>
      </c>
      <c r="F14" s="43">
        <v>2076703.0</v>
      </c>
      <c r="G14" s="43">
        <v>282365.0</v>
      </c>
      <c r="H14" s="44">
        <v>0.0</v>
      </c>
      <c r="I14" s="44">
        <v>0.0</v>
      </c>
      <c r="J14" s="44">
        <v>0.0</v>
      </c>
      <c r="K14" s="44">
        <v>0.0</v>
      </c>
      <c r="L14" s="44">
        <v>1.690248673</v>
      </c>
      <c r="M14" s="44">
        <v>1.448753239</v>
      </c>
      <c r="N14" s="44">
        <v>0.0</v>
      </c>
      <c r="O14" s="50"/>
      <c r="P14" s="50"/>
      <c r="Q14" s="50"/>
      <c r="R14" s="50"/>
      <c r="S14" s="50"/>
      <c r="T14" s="50"/>
      <c r="U14" s="50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</row>
    <row r="15" ht="12.75" customHeight="1">
      <c r="A15" s="39" t="s">
        <v>63</v>
      </c>
      <c r="B15" s="40">
        <v>1.02007362E8</v>
      </c>
      <c r="C15" s="41">
        <v>6.1670678E7</v>
      </c>
      <c r="D15" s="42">
        <v>5.5015655E7</v>
      </c>
      <c r="E15" s="43">
        <v>4.6991707E7</v>
      </c>
      <c r="F15" s="43">
        <v>1.4641787E7</v>
      </c>
      <c r="G15" s="43">
        <v>8909513.0</v>
      </c>
      <c r="H15" s="44">
        <v>0.0</v>
      </c>
      <c r="I15" s="44">
        <v>0.0</v>
      </c>
      <c r="J15" s="44">
        <v>0.0</v>
      </c>
      <c r="K15" s="44">
        <v>0.0</v>
      </c>
      <c r="L15" s="44">
        <v>1.85415155</v>
      </c>
      <c r="M15" s="44">
        <v>1.170752427</v>
      </c>
      <c r="N15" s="44">
        <v>0.0</v>
      </c>
      <c r="O15" s="45">
        <v>99.0</v>
      </c>
      <c r="P15" s="45">
        <v>101.28</v>
      </c>
      <c r="Q15" s="45">
        <v>145.0</v>
      </c>
      <c r="R15" s="45">
        <v>59.0</v>
      </c>
      <c r="S15" s="46">
        <v>9289400.0</v>
      </c>
      <c r="T15" s="45">
        <v>35.34</v>
      </c>
      <c r="U15" s="45">
        <v>36.11</v>
      </c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</row>
    <row r="16" ht="12.75" customHeight="1">
      <c r="A16" s="39" t="s">
        <v>64</v>
      </c>
      <c r="B16" s="40">
        <v>9.674341E7</v>
      </c>
      <c r="C16" s="41">
        <v>6.299268E7</v>
      </c>
      <c r="D16" s="42">
        <v>4.9505659E7</v>
      </c>
      <c r="E16" s="43">
        <v>4.7237751E7</v>
      </c>
      <c r="F16" s="43">
        <v>2907644.0</v>
      </c>
      <c r="G16" s="43">
        <v>182949.0</v>
      </c>
      <c r="H16" s="44">
        <v>0.0</v>
      </c>
      <c r="I16" s="44">
        <v>0.0</v>
      </c>
      <c r="J16" s="44">
        <v>0.0</v>
      </c>
      <c r="K16" s="44">
        <v>0.0</v>
      </c>
      <c r="L16" s="44">
        <v>1.954188914</v>
      </c>
      <c r="M16" s="44">
        <v>1.048010499</v>
      </c>
      <c r="N16" s="44">
        <v>0.0</v>
      </c>
      <c r="O16" s="48"/>
      <c r="P16" s="48"/>
      <c r="Q16" s="48"/>
      <c r="R16" s="48"/>
      <c r="S16" s="48"/>
      <c r="T16" s="48"/>
      <c r="U16" s="48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</row>
    <row r="17" ht="12.75" customHeight="1">
      <c r="A17" s="39" t="s">
        <v>65</v>
      </c>
      <c r="B17" s="40">
        <v>9.5683642E7</v>
      </c>
      <c r="C17" s="41">
        <v>6.2977395E7</v>
      </c>
      <c r="D17" s="42">
        <v>4.9060123E7</v>
      </c>
      <c r="E17" s="43">
        <v>4.6623519E7</v>
      </c>
      <c r="F17" s="43">
        <v>2186761.0</v>
      </c>
      <c r="G17" s="43">
        <v>569577.0</v>
      </c>
      <c r="H17" s="44">
        <v>0.0</v>
      </c>
      <c r="I17" s="44">
        <v>0.0</v>
      </c>
      <c r="J17" s="44">
        <v>0.0</v>
      </c>
      <c r="K17" s="44">
        <v>0.0</v>
      </c>
      <c r="L17" s="44">
        <v>1.950334328</v>
      </c>
      <c r="M17" s="44">
        <v>1.052261263</v>
      </c>
      <c r="N17" s="44">
        <v>0.0</v>
      </c>
      <c r="O17" s="48"/>
      <c r="P17" s="48"/>
      <c r="Q17" s="48"/>
      <c r="R17" s="48"/>
      <c r="S17" s="48"/>
      <c r="T17" s="48"/>
      <c r="U17" s="48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ht="12.75" customHeight="1">
      <c r="A18" s="39" t="s">
        <v>66</v>
      </c>
      <c r="B18" s="40">
        <v>1.028249E8</v>
      </c>
      <c r="C18" s="41">
        <v>6.3283301E7</v>
      </c>
      <c r="D18" s="42">
        <v>5.6469744E7</v>
      </c>
      <c r="E18" s="43">
        <v>4.6355156E7</v>
      </c>
      <c r="F18" s="43">
        <v>2683081.0</v>
      </c>
      <c r="G18" s="43">
        <v>218853.0</v>
      </c>
      <c r="H18" s="44">
        <v>0.0</v>
      </c>
      <c r="I18" s="44">
        <v>0.0</v>
      </c>
      <c r="J18" s="44">
        <v>0.0</v>
      </c>
      <c r="K18" s="44">
        <v>0.0</v>
      </c>
      <c r="L18" s="44">
        <v>1.820884826</v>
      </c>
      <c r="M18" s="44">
        <v>1.218197691</v>
      </c>
      <c r="N18" s="44">
        <v>0.0</v>
      </c>
      <c r="O18" s="50"/>
      <c r="P18" s="50"/>
      <c r="Q18" s="50"/>
      <c r="R18" s="50"/>
      <c r="S18" s="50"/>
      <c r="T18" s="50"/>
      <c r="U18" s="50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</row>
    <row r="19" ht="12.75" customHeight="1">
      <c r="A19" s="39" t="s">
        <v>67</v>
      </c>
      <c r="B19" s="40">
        <v>1.10723055E8</v>
      </c>
      <c r="C19" s="52">
        <v>6.8301091E7</v>
      </c>
      <c r="D19" s="42">
        <v>5.8945449E7</v>
      </c>
      <c r="E19" s="43">
        <v>5.1777606E7</v>
      </c>
      <c r="F19" s="43">
        <v>8526953.0</v>
      </c>
      <c r="G19" s="43">
        <v>5304835.0</v>
      </c>
      <c r="H19" s="44">
        <v>0.0</v>
      </c>
      <c r="I19" s="44">
        <v>0.0</v>
      </c>
      <c r="J19" s="44">
        <v>0.0</v>
      </c>
      <c r="K19" s="44">
        <v>0.0</v>
      </c>
      <c r="L19" s="44">
        <v>1.878398704</v>
      </c>
      <c r="M19" s="44">
        <v>1.138435195</v>
      </c>
      <c r="N19" s="44">
        <v>0.0</v>
      </c>
      <c r="O19" s="45">
        <v>100.0</v>
      </c>
      <c r="P19" s="45">
        <v>103.34</v>
      </c>
      <c r="Q19" s="45">
        <v>138.0</v>
      </c>
      <c r="R19" s="45">
        <v>82.4</v>
      </c>
      <c r="S19" s="46">
        <v>3097640.0</v>
      </c>
      <c r="T19" s="45">
        <v>15.05</v>
      </c>
      <c r="U19" s="45">
        <v>20.47</v>
      </c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</row>
    <row r="20" ht="12.75" customHeight="1">
      <c r="A20" s="39" t="s">
        <v>68</v>
      </c>
      <c r="B20" s="40">
        <v>1.09386839E8</v>
      </c>
      <c r="C20" s="41">
        <v>6.8301091E7</v>
      </c>
      <c r="D20" s="42">
        <v>5.783057E7</v>
      </c>
      <c r="E20" s="43">
        <v>5.1556268E7</v>
      </c>
      <c r="F20" s="43">
        <v>2784747.0</v>
      </c>
      <c r="G20" s="43">
        <v>167948.0</v>
      </c>
      <c r="H20" s="44">
        <v>0.0</v>
      </c>
      <c r="I20" s="44">
        <v>0.0</v>
      </c>
      <c r="J20" s="44">
        <v>0.0</v>
      </c>
      <c r="K20" s="44">
        <v>0.0</v>
      </c>
      <c r="L20" s="44">
        <v>1.891505462</v>
      </c>
      <c r="M20" s="44">
        <v>1.121698142</v>
      </c>
      <c r="N20" s="44">
        <v>0.0</v>
      </c>
      <c r="O20" s="48"/>
      <c r="P20" s="48"/>
      <c r="Q20" s="48"/>
      <c r="R20" s="48"/>
      <c r="S20" s="48"/>
      <c r="T20" s="48"/>
      <c r="U20" s="48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ht="12.75" customHeight="1">
      <c r="A21" s="39" t="s">
        <v>69</v>
      </c>
      <c r="B21" s="40">
        <v>1.18112409E8</v>
      </c>
      <c r="C21" s="41">
        <v>7.9772656E7</v>
      </c>
      <c r="D21" s="42">
        <v>6.8070161E7</v>
      </c>
      <c r="E21" s="43">
        <v>5.0042248E7</v>
      </c>
      <c r="F21" s="43">
        <v>2784747.0</v>
      </c>
      <c r="G21" s="43">
        <v>1208886.0</v>
      </c>
      <c r="H21" s="43">
        <v>35803.0</v>
      </c>
      <c r="I21" s="43">
        <v>482725.0</v>
      </c>
      <c r="J21" s="44">
        <v>2.5043</v>
      </c>
      <c r="K21" s="44">
        <v>0.004086996481</v>
      </c>
      <c r="L21" s="44">
        <v>1.735156892</v>
      </c>
      <c r="M21" s="44">
        <v>1.36025386</v>
      </c>
      <c r="N21" s="44">
        <v>0.07416852245</v>
      </c>
      <c r="O21" s="48"/>
      <c r="P21" s="48"/>
      <c r="Q21" s="48"/>
      <c r="R21" s="48"/>
      <c r="S21" s="48"/>
      <c r="T21" s="48"/>
      <c r="U21" s="48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</row>
    <row r="22" ht="12.75" customHeight="1">
      <c r="A22" s="39" t="s">
        <v>70</v>
      </c>
      <c r="B22" s="40">
        <v>1.15643419E8</v>
      </c>
      <c r="C22" s="41">
        <v>8.0207711E7</v>
      </c>
      <c r="D22" s="42">
        <v>6.6627952E7</v>
      </c>
      <c r="E22" s="43">
        <v>4.9015466E7</v>
      </c>
      <c r="F22" s="43">
        <v>2808133.0</v>
      </c>
      <c r="G22" s="43">
        <v>1040372.0</v>
      </c>
      <c r="H22" s="43">
        <v>35147.0</v>
      </c>
      <c r="I22" s="43">
        <v>338790.0</v>
      </c>
      <c r="J22" s="44">
        <v>3.0708</v>
      </c>
      <c r="K22" s="44">
        <v>0.002929608991</v>
      </c>
      <c r="L22" s="44">
        <v>1.735659217</v>
      </c>
      <c r="M22" s="44">
        <v>1.359325075</v>
      </c>
      <c r="N22" s="44">
        <v>0.1037427315</v>
      </c>
      <c r="O22" s="50"/>
      <c r="P22" s="50"/>
      <c r="Q22" s="50"/>
      <c r="R22" s="50"/>
      <c r="S22" s="50"/>
      <c r="T22" s="50"/>
      <c r="U22" s="50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</row>
    <row r="23" ht="12.75" customHeight="1">
      <c r="A23" s="39" t="s">
        <v>71</v>
      </c>
      <c r="B23" s="40">
        <v>1.39272972E8</v>
      </c>
      <c r="C23" s="52">
        <v>8.7671487E7</v>
      </c>
      <c r="D23" s="42">
        <v>7.9767301E7</v>
      </c>
      <c r="E23" s="43">
        <v>4.822969E7</v>
      </c>
      <c r="F23" s="43">
        <v>3594077.0</v>
      </c>
      <c r="G23" s="43">
        <v>776989.0</v>
      </c>
      <c r="H23" s="43">
        <v>69490.0</v>
      </c>
      <c r="I23" s="43">
        <v>735528.0</v>
      </c>
      <c r="J23" s="44">
        <v>1.0564</v>
      </c>
      <c r="K23" s="44">
        <v>0.005281196986</v>
      </c>
      <c r="L23" s="44">
        <v>1.745990779</v>
      </c>
      <c r="M23" s="44">
        <v>1.653904493</v>
      </c>
      <c r="N23" s="44">
        <v>0.09447634896</v>
      </c>
      <c r="O23" s="45">
        <v>103.0</v>
      </c>
      <c r="P23" s="45">
        <v>105.62</v>
      </c>
      <c r="Q23" s="45">
        <v>194.9</v>
      </c>
      <c r="R23" s="45">
        <v>86.0</v>
      </c>
      <c r="S23" s="46">
        <v>4065880.0</v>
      </c>
      <c r="T23" s="45">
        <v>14.52</v>
      </c>
      <c r="U23" s="45">
        <v>23.76</v>
      </c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ht="12.75" customHeight="1">
      <c r="A24" s="39" t="s">
        <v>72</v>
      </c>
      <c r="B24" s="40">
        <v>1.33625161E8</v>
      </c>
      <c r="C24" s="41">
        <v>9.6414704E7</v>
      </c>
      <c r="D24" s="42">
        <v>7.8251397E7</v>
      </c>
      <c r="E24" s="43">
        <v>5.5373764E7</v>
      </c>
      <c r="F24" s="43">
        <v>2609954.0</v>
      </c>
      <c r="G24" s="43">
        <v>1515688.0</v>
      </c>
      <c r="H24" s="43">
        <v>29264.0</v>
      </c>
      <c r="I24" s="43">
        <v>434198.0</v>
      </c>
      <c r="J24" s="44">
        <v>3.4908</v>
      </c>
      <c r="K24" s="44">
        <v>0.003249373073</v>
      </c>
      <c r="L24" s="44">
        <v>1.707639303</v>
      </c>
      <c r="M24" s="44">
        <v>1.413149321</v>
      </c>
      <c r="N24" s="44">
        <v>0.06739782311</v>
      </c>
      <c r="O24" s="48"/>
      <c r="P24" s="48"/>
      <c r="Q24" s="48"/>
      <c r="R24" s="48"/>
      <c r="S24" s="48"/>
      <c r="T24" s="48"/>
      <c r="U24" s="48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</row>
    <row r="25" ht="12.75" customHeight="1">
      <c r="A25" s="39" t="s">
        <v>73</v>
      </c>
      <c r="B25" s="40">
        <v>1.39272972E8</v>
      </c>
      <c r="C25" s="41">
        <v>9.0872068E7</v>
      </c>
      <c r="D25" s="42">
        <v>8.7440091E7</v>
      </c>
      <c r="E25" s="43">
        <v>5.1832881E7</v>
      </c>
      <c r="F25" s="43">
        <v>906264.0</v>
      </c>
      <c r="G25" s="43">
        <v>3582627.0</v>
      </c>
      <c r="H25" s="43">
        <v>60225.0</v>
      </c>
      <c r="I25" s="43">
        <v>554342.0</v>
      </c>
      <c r="J25" s="44">
        <v>6.4628</v>
      </c>
      <c r="K25" s="44">
        <v>0.003980255408</v>
      </c>
      <c r="L25" s="44">
        <v>1.592781645</v>
      </c>
      <c r="M25" s="44">
        <v>1.686961815</v>
      </c>
      <c r="N25" s="44">
        <v>0.1086423183</v>
      </c>
      <c r="O25" s="48"/>
      <c r="P25" s="48"/>
      <c r="Q25" s="48"/>
      <c r="R25" s="48"/>
      <c r="S25" s="48"/>
      <c r="T25" s="48"/>
      <c r="U25" s="48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</row>
    <row r="26" ht="12.75" customHeight="1">
      <c r="A26" s="39" t="s">
        <v>74</v>
      </c>
      <c r="B26" s="40">
        <v>1.40945044E8</v>
      </c>
      <c r="C26" s="41">
        <v>9.1233113E7</v>
      </c>
      <c r="D26" s="42">
        <v>9.0497257E7</v>
      </c>
      <c r="E26" s="43">
        <v>5.0447787E7</v>
      </c>
      <c r="F26" s="43">
        <v>3299043.0</v>
      </c>
      <c r="G26" s="43">
        <v>1416159.0</v>
      </c>
      <c r="H26" s="43">
        <v>63039.0</v>
      </c>
      <c r="I26" s="43">
        <v>686452.0</v>
      </c>
      <c r="J26" s="44">
        <v>2.063</v>
      </c>
      <c r="K26" s="44">
        <v>0.004870352164</v>
      </c>
      <c r="L26" s="44">
        <v>1.557451006</v>
      </c>
      <c r="M26" s="44">
        <v>1.793879621</v>
      </c>
      <c r="N26" s="44">
        <v>0.09183307791</v>
      </c>
      <c r="O26" s="50"/>
      <c r="P26" s="50"/>
      <c r="Q26" s="50"/>
      <c r="R26" s="50"/>
      <c r="S26" s="50"/>
      <c r="T26" s="50"/>
      <c r="U26" s="50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ht="12.75" customHeight="1">
      <c r="A27" s="39" t="s">
        <v>75</v>
      </c>
      <c r="B27" s="40">
        <v>1.46240652E8</v>
      </c>
      <c r="C27" s="52">
        <v>9.0943738E7</v>
      </c>
      <c r="D27" s="42">
        <v>9.9170625E7</v>
      </c>
      <c r="E27" s="43">
        <v>4.7070026E7</v>
      </c>
      <c r="F27" s="43">
        <v>2428532.0</v>
      </c>
      <c r="G27" s="43">
        <v>2698385.0</v>
      </c>
      <c r="H27" s="43">
        <v>12148.0</v>
      </c>
      <c r="I27" s="43">
        <v>805485.0</v>
      </c>
      <c r="J27" s="44">
        <v>3.35</v>
      </c>
      <c r="K27" s="44">
        <v>0.0055079418</v>
      </c>
      <c r="L27" s="44">
        <v>1.474636789</v>
      </c>
      <c r="M27" s="44">
        <v>2.106874235</v>
      </c>
      <c r="N27" s="44">
        <v>0.0150815968</v>
      </c>
      <c r="O27" s="45">
        <v>103.0</v>
      </c>
      <c r="P27" s="45">
        <v>132.54</v>
      </c>
      <c r="Q27" s="45">
        <v>182.6</v>
      </c>
      <c r="R27" s="45">
        <v>86.1</v>
      </c>
      <c r="S27" s="46">
        <v>4.132085E7</v>
      </c>
      <c r="T27" s="45">
        <v>12.21</v>
      </c>
      <c r="U27" s="45">
        <v>22.93</v>
      </c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</row>
    <row r="28" ht="12.75" customHeight="1">
      <c r="A28" s="39" t="s">
        <v>76</v>
      </c>
      <c r="B28" s="40">
        <v>1.46904869E8</v>
      </c>
      <c r="C28" s="41">
        <v>7.8442272E7</v>
      </c>
      <c r="D28" s="42">
        <v>8.9176375E7</v>
      </c>
      <c r="E28" s="43">
        <v>5.7728495E7</v>
      </c>
      <c r="F28" s="43">
        <v>1.4662052E7</v>
      </c>
      <c r="G28" s="43">
        <v>1.0629482E7</v>
      </c>
      <c r="H28" s="43">
        <v>18735.0</v>
      </c>
      <c r="I28" s="43">
        <v>493572.0</v>
      </c>
      <c r="J28" s="44">
        <v>21.5358</v>
      </c>
      <c r="K28" s="44">
        <v>0.003359806951</v>
      </c>
      <c r="L28" s="44">
        <v>1.64735188</v>
      </c>
      <c r="M28" s="44">
        <v>1.544754891</v>
      </c>
      <c r="N28" s="44">
        <v>0.03795798789</v>
      </c>
      <c r="O28" s="48"/>
      <c r="P28" s="48"/>
      <c r="Q28" s="48"/>
      <c r="R28" s="48"/>
      <c r="S28" s="48"/>
      <c r="T28" s="48"/>
      <c r="U28" s="48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ht="12.75" customHeight="1">
      <c r="A29" s="39" t="s">
        <v>77</v>
      </c>
      <c r="B29" s="40">
        <v>1.51656719E8</v>
      </c>
      <c r="C29" s="41">
        <v>8.2457151E7</v>
      </c>
      <c r="D29" s="42">
        <v>9.4639064E7</v>
      </c>
      <c r="E29" s="43">
        <v>5.7017655E7</v>
      </c>
      <c r="F29" s="43">
        <v>3469555.0</v>
      </c>
      <c r="G29" s="43">
        <v>759262.0</v>
      </c>
      <c r="H29" s="43">
        <v>37123.0</v>
      </c>
      <c r="I29" s="43">
        <v>677556.0</v>
      </c>
      <c r="J29" s="44">
        <v>1.1206</v>
      </c>
      <c r="K29" s="44">
        <v>0.00446769523</v>
      </c>
      <c r="L29" s="44">
        <v>1.602474841</v>
      </c>
      <c r="M29" s="44">
        <v>1.659820349</v>
      </c>
      <c r="N29" s="44">
        <v>0.05478956721</v>
      </c>
      <c r="O29" s="48"/>
      <c r="P29" s="48"/>
      <c r="Q29" s="48"/>
      <c r="R29" s="48"/>
      <c r="S29" s="48"/>
      <c r="T29" s="48"/>
      <c r="U29" s="48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ht="12.75" customHeight="1">
      <c r="A30" s="39" t="s">
        <v>78</v>
      </c>
      <c r="B30" s="40">
        <v>1.65351673E8</v>
      </c>
      <c r="C30" s="41">
        <v>9.0640806E7</v>
      </c>
      <c r="D30" s="42">
        <v>1.0940868E8</v>
      </c>
      <c r="E30" s="43">
        <v>5.5942993E7</v>
      </c>
      <c r="F30" s="43">
        <v>2705534.0</v>
      </c>
      <c r="G30" s="43">
        <v>1088253.0</v>
      </c>
      <c r="H30" s="43">
        <v>8656.0</v>
      </c>
      <c r="I30" s="43">
        <v>503432.0</v>
      </c>
      <c r="J30" s="44">
        <v>2.1617</v>
      </c>
      <c r="K30" s="44">
        <v>0.003044613888</v>
      </c>
      <c r="L30" s="44">
        <v>1.511321341</v>
      </c>
      <c r="M30" s="44">
        <v>1.955717314</v>
      </c>
      <c r="N30" s="44">
        <v>0.01719398052</v>
      </c>
      <c r="O30" s="50"/>
      <c r="P30" s="50"/>
      <c r="Q30" s="50"/>
      <c r="R30" s="50"/>
      <c r="S30" s="50"/>
      <c r="T30" s="50"/>
      <c r="U30" s="50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</row>
    <row r="31" ht="12.75" customHeight="1">
      <c r="A31" s="39" t="s">
        <v>79</v>
      </c>
      <c r="B31" s="40">
        <v>1.71110568E8</v>
      </c>
      <c r="C31" s="53">
        <v>9.2504806E7</v>
      </c>
      <c r="D31" s="42">
        <v>1.14496018E8</v>
      </c>
      <c r="E31" s="43">
        <v>5.661455E7</v>
      </c>
      <c r="F31" s="43">
        <v>4239859.0</v>
      </c>
      <c r="G31" s="43">
        <v>6466.0</v>
      </c>
      <c r="H31" s="43">
        <v>8787.0</v>
      </c>
      <c r="I31" s="43">
        <v>856139.0</v>
      </c>
      <c r="J31" s="44">
        <v>0.0076</v>
      </c>
      <c r="K31" s="44">
        <v>0.005003425621</v>
      </c>
      <c r="L31" s="44">
        <v>1.494467415</v>
      </c>
      <c r="M31" s="44">
        <v>2.022377958</v>
      </c>
      <c r="N31" s="44">
        <v>0.01026352029</v>
      </c>
      <c r="O31" s="45">
        <v>107.0</v>
      </c>
      <c r="P31" s="45">
        <v>507.16</v>
      </c>
      <c r="Q31" s="54">
        <v>1210.0</v>
      </c>
      <c r="R31" s="45">
        <v>136.0</v>
      </c>
      <c r="S31" s="46">
        <v>6.723468E7</v>
      </c>
      <c r="T31" s="45">
        <v>24.28</v>
      </c>
      <c r="U31" s="45">
        <v>59.01</v>
      </c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ht="12.75" customHeight="1">
      <c r="A32" s="39" t="s">
        <v>80</v>
      </c>
      <c r="B32" s="40">
        <v>2.7924439E8</v>
      </c>
      <c r="C32" s="41">
        <v>1.60982456E8</v>
      </c>
      <c r="D32" s="42">
        <v>1.38468088E8</v>
      </c>
      <c r="E32" s="43">
        <v>1.40776301E8</v>
      </c>
      <c r="F32" s="43">
        <v>2734919.0</v>
      </c>
      <c r="G32" s="43">
        <v>3657796.0</v>
      </c>
      <c r="H32" s="43">
        <v>36794.0</v>
      </c>
      <c r="I32" s="43">
        <v>587395.0</v>
      </c>
      <c r="J32" s="44">
        <v>6.2271</v>
      </c>
      <c r="K32" s="44">
        <v>0.002103515849</v>
      </c>
      <c r="L32" s="44">
        <v>2.016669646</v>
      </c>
      <c r="M32" s="44">
        <v>0.983603682</v>
      </c>
      <c r="N32" s="44">
        <v>0.06263928021</v>
      </c>
      <c r="O32" s="48"/>
      <c r="P32" s="48"/>
      <c r="Q32" s="48"/>
      <c r="R32" s="48"/>
      <c r="S32" s="48"/>
      <c r="T32" s="48"/>
      <c r="U32" s="48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</row>
    <row r="33" ht="12.75" customHeight="1">
      <c r="A33" s="39" t="s">
        <v>81</v>
      </c>
      <c r="B33" s="40">
        <v>3.01704428E8</v>
      </c>
      <c r="C33" s="41">
        <v>1.71160023E8</v>
      </c>
      <c r="D33" s="42">
        <v>1.53664818E8</v>
      </c>
      <c r="E33" s="43">
        <v>1.4803961E8</v>
      </c>
      <c r="F33" s="43">
        <v>3123072.0</v>
      </c>
      <c r="G33" s="43">
        <v>9111764.0</v>
      </c>
      <c r="H33" s="43">
        <v>22016.0</v>
      </c>
      <c r="I33" s="43">
        <v>517672.0</v>
      </c>
      <c r="J33" s="44">
        <v>17.6014</v>
      </c>
      <c r="K33" s="44">
        <v>0.001715824999</v>
      </c>
      <c r="L33" s="44">
        <v>1.963393</v>
      </c>
      <c r="M33" s="44">
        <v>1.037997993</v>
      </c>
      <c r="N33" s="44">
        <v>0.04252885997</v>
      </c>
      <c r="O33" s="48"/>
      <c r="P33" s="48"/>
      <c r="Q33" s="48"/>
      <c r="R33" s="48"/>
      <c r="S33" s="48"/>
      <c r="T33" s="48"/>
      <c r="U33" s="48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</row>
    <row r="34" ht="12.75" customHeight="1">
      <c r="A34" s="39" t="s">
        <v>82</v>
      </c>
      <c r="B34" s="40">
        <v>3.155381E8</v>
      </c>
      <c r="C34" s="41">
        <v>1.79474561E8</v>
      </c>
      <c r="D34" s="42">
        <v>1.57845327E8</v>
      </c>
      <c r="E34" s="43">
        <v>1.57692773E8</v>
      </c>
      <c r="F34" s="43">
        <v>9250387.0</v>
      </c>
      <c r="G34" s="43">
        <v>9199754.0</v>
      </c>
      <c r="H34" s="43">
        <v>15424.0</v>
      </c>
      <c r="I34" s="43">
        <v>730600.0</v>
      </c>
      <c r="J34" s="44">
        <v>12.5921</v>
      </c>
      <c r="K34" s="44">
        <v>0.002315409771</v>
      </c>
      <c r="L34" s="44">
        <v>1.999033522</v>
      </c>
      <c r="M34" s="44">
        <v>1.000967413</v>
      </c>
      <c r="N34" s="44">
        <v>0.02111141528</v>
      </c>
      <c r="O34" s="50"/>
      <c r="P34" s="50"/>
      <c r="Q34" s="50"/>
      <c r="R34" s="50"/>
      <c r="S34" s="50"/>
      <c r="T34" s="50"/>
      <c r="U34" s="50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ht="12.75" customHeight="1">
      <c r="A35" s="39" t="s">
        <v>83</v>
      </c>
      <c r="B35" s="40">
        <v>4.09926082E8</v>
      </c>
      <c r="C35" s="53">
        <v>2.36845236E8</v>
      </c>
      <c r="D35" s="42">
        <v>1.64814156E8</v>
      </c>
      <c r="E35" s="43">
        <v>2.52493434E8</v>
      </c>
      <c r="F35" s="43">
        <v>1.7469398E7</v>
      </c>
      <c r="G35" s="43">
        <v>5.3417325E7</v>
      </c>
      <c r="H35" s="43">
        <v>26480.0</v>
      </c>
      <c r="I35" s="42">
        <v>659161.0</v>
      </c>
      <c r="J35" s="44">
        <v>81.0384</v>
      </c>
      <c r="K35" s="44">
        <v>0.001607999659</v>
      </c>
      <c r="L35" s="44">
        <v>2.4872019</v>
      </c>
      <c r="M35" s="44">
        <v>0.6527463047</v>
      </c>
      <c r="N35" s="44">
        <v>0.04017227961</v>
      </c>
      <c r="O35" s="45">
        <v>133.0</v>
      </c>
      <c r="P35" s="45">
        <v>612.12</v>
      </c>
      <c r="Q35" s="54">
        <v>1489.0</v>
      </c>
      <c r="R35" s="45">
        <v>240.0</v>
      </c>
      <c r="S35" s="46">
        <v>2.454041E7</v>
      </c>
      <c r="T35" s="45">
        <v>31.89</v>
      </c>
      <c r="U35" s="45">
        <v>128.71</v>
      </c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</row>
    <row r="36" ht="12.75" customHeight="1">
      <c r="A36" s="39" t="s">
        <v>84</v>
      </c>
      <c r="B36" s="40">
        <v>4.57499579E8</v>
      </c>
      <c r="C36" s="41">
        <v>2.75195866E8</v>
      </c>
      <c r="D36" s="42">
        <v>1.61266465E8</v>
      </c>
      <c r="E36" s="43">
        <v>2.96233114E8</v>
      </c>
      <c r="F36" s="43">
        <v>1.7602812E7</v>
      </c>
      <c r="G36" s="43">
        <v>1.7158768E7</v>
      </c>
      <c r="H36" s="43">
        <v>108605.0</v>
      </c>
      <c r="I36" s="43">
        <v>1771821.0</v>
      </c>
      <c r="J36" s="44">
        <v>9.6843</v>
      </c>
      <c r="K36" s="44">
        <v>0.003872836351</v>
      </c>
      <c r="L36" s="44">
        <v>2.836917018</v>
      </c>
      <c r="M36" s="44">
        <v>0.5443904053</v>
      </c>
      <c r="N36" s="44">
        <v>0.06129569522</v>
      </c>
      <c r="O36" s="48"/>
      <c r="P36" s="48"/>
      <c r="Q36" s="48"/>
      <c r="R36" s="48"/>
      <c r="S36" s="48"/>
      <c r="T36" s="48"/>
      <c r="U36" s="48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ht="12.75" customHeight="1">
      <c r="A37" s="39" t="s">
        <v>85</v>
      </c>
      <c r="B37" s="40">
        <v>4.4383855E8</v>
      </c>
      <c r="C37" s="41">
        <v>2.61615689E8</v>
      </c>
      <c r="D37" s="42">
        <v>1.63893151E8</v>
      </c>
      <c r="E37" s="43">
        <v>2.79945399E8</v>
      </c>
      <c r="F37" s="43">
        <v>1.0789853E7</v>
      </c>
      <c r="G37" s="43">
        <v>1680377.0</v>
      </c>
      <c r="H37" s="43">
        <v>580764.0</v>
      </c>
      <c r="I37" s="43">
        <v>2276521.0</v>
      </c>
      <c r="J37" s="44">
        <v>0.7381</v>
      </c>
      <c r="K37" s="44">
        <v>0.005129164648</v>
      </c>
      <c r="L37" s="44">
        <v>2.708096997</v>
      </c>
      <c r="M37" s="44">
        <v>0.5854468464</v>
      </c>
      <c r="N37" s="44">
        <v>0.2551103197</v>
      </c>
      <c r="O37" s="48"/>
      <c r="P37" s="48"/>
      <c r="Q37" s="48"/>
      <c r="R37" s="48"/>
      <c r="S37" s="48"/>
      <c r="T37" s="48"/>
      <c r="U37" s="48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ht="12.75" customHeight="1">
      <c r="A38" s="39" t="s">
        <v>86</v>
      </c>
      <c r="B38" s="40">
        <v>4.62415843E8</v>
      </c>
      <c r="C38" s="41">
        <v>2.62362053E8</v>
      </c>
      <c r="D38" s="42">
        <v>1.81665511E8</v>
      </c>
      <c r="E38" s="43">
        <v>2.80750332E8</v>
      </c>
      <c r="F38" s="43">
        <v>1.2971474E7</v>
      </c>
      <c r="G38" s="43">
        <v>5349367.0</v>
      </c>
      <c r="H38" s="43">
        <v>252805.0</v>
      </c>
      <c r="I38" s="43">
        <v>1740544.0</v>
      </c>
      <c r="J38" s="44">
        <v>3.0734</v>
      </c>
      <c r="K38" s="44">
        <v>0.003764023284</v>
      </c>
      <c r="L38" s="44">
        <v>2.545424503</v>
      </c>
      <c r="M38" s="44">
        <v>0.6470714022</v>
      </c>
      <c r="N38" s="44">
        <v>0.14524482</v>
      </c>
      <c r="O38" s="50"/>
      <c r="P38" s="50"/>
      <c r="Q38" s="50"/>
      <c r="R38" s="50"/>
      <c r="S38" s="50"/>
      <c r="T38" s="50"/>
      <c r="U38" s="50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</row>
    <row r="39" ht="12.75" customHeight="1">
      <c r="A39" s="39" t="s">
        <v>87</v>
      </c>
      <c r="B39" s="40">
        <v>4.57607149E8</v>
      </c>
      <c r="C39" s="41">
        <v>2.3563243E8</v>
      </c>
      <c r="D39" s="42">
        <v>2.02828717E8</v>
      </c>
      <c r="E39" s="43">
        <v>2.54778432E8</v>
      </c>
      <c r="F39" s="43">
        <v>5.239144E7</v>
      </c>
      <c r="G39" s="43">
        <v>1777907.0</v>
      </c>
      <c r="H39" s="43">
        <v>114321.0</v>
      </c>
      <c r="I39" s="43">
        <v>1962341.0</v>
      </c>
      <c r="J39" s="44">
        <v>0.906</v>
      </c>
      <c r="K39" s="44">
        <v>0.00428826561</v>
      </c>
      <c r="L39" s="44">
        <v>2.256126035</v>
      </c>
      <c r="M39" s="44">
        <v>0.7960984586</v>
      </c>
      <c r="N39" s="44">
        <v>0.05825745882</v>
      </c>
      <c r="O39" s="55"/>
      <c r="P39" s="45">
        <v>399.91</v>
      </c>
      <c r="Q39" s="45">
        <v>508.0</v>
      </c>
      <c r="R39" s="45">
        <v>314.0</v>
      </c>
      <c r="S39" s="46">
        <v>7613540.0</v>
      </c>
      <c r="T39" s="45">
        <v>9.0</v>
      </c>
      <c r="U39" s="45">
        <v>45.6</v>
      </c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</row>
    <row r="40" ht="12.75" customHeight="1">
      <c r="A40" s="39" t="s">
        <v>88</v>
      </c>
      <c r="B40" s="40">
        <v>4.93232798E8</v>
      </c>
      <c r="C40" s="41">
        <v>2.32682241E8</v>
      </c>
      <c r="D40" s="42">
        <v>2.40506866E8</v>
      </c>
      <c r="E40" s="43">
        <v>2.52725931E8</v>
      </c>
      <c r="F40" s="43">
        <v>1.2288736E7</v>
      </c>
      <c r="G40" s="43">
        <v>4108955.0</v>
      </c>
      <c r="H40" s="43">
        <v>58769.0</v>
      </c>
      <c r="I40" s="43">
        <v>651726.0</v>
      </c>
      <c r="J40" s="44">
        <v>6.3047</v>
      </c>
      <c r="K40" s="44">
        <v>0.001321335488</v>
      </c>
      <c r="L40" s="44">
        <v>2.050805477</v>
      </c>
      <c r="M40" s="44">
        <v>0.951650925</v>
      </c>
      <c r="N40" s="44">
        <v>0.09017439844</v>
      </c>
      <c r="O40" s="48"/>
      <c r="P40" s="48"/>
      <c r="Q40" s="48"/>
      <c r="R40" s="48"/>
      <c r="S40" s="48"/>
      <c r="T40" s="48"/>
      <c r="U40" s="48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ht="12.75" customHeight="1">
      <c r="A41" s="39" t="s">
        <v>89</v>
      </c>
      <c r="B41" s="40">
        <v>5.19983786E8</v>
      </c>
      <c r="C41" s="41">
        <v>2.39535447E8</v>
      </c>
      <c r="D41" s="42">
        <v>2.57797516E8</v>
      </c>
      <c r="E41" s="43">
        <v>2.6218627E8</v>
      </c>
      <c r="F41" s="43">
        <v>2.7854065E7</v>
      </c>
      <c r="G41" s="43">
        <v>1219856.0</v>
      </c>
      <c r="H41" s="43">
        <v>86560.0</v>
      </c>
      <c r="I41" s="43">
        <v>1024268.0</v>
      </c>
      <c r="J41" s="44">
        <v>1.191</v>
      </c>
      <c r="K41" s="44">
        <v>0.001969807574</v>
      </c>
      <c r="L41" s="44">
        <v>2.017024035</v>
      </c>
      <c r="M41" s="44">
        <v>0.9832609312</v>
      </c>
      <c r="N41" s="44">
        <v>0.08450913238</v>
      </c>
      <c r="O41" s="50"/>
      <c r="P41" s="50"/>
      <c r="Q41" s="50"/>
      <c r="R41" s="50"/>
      <c r="S41" s="50"/>
      <c r="T41" s="50"/>
      <c r="U41" s="50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</row>
    <row r="42" ht="12.75" customHeight="1">
      <c r="A42" s="39" t="s">
        <v>90</v>
      </c>
      <c r="B42" s="56">
        <v>5.93509973E8</v>
      </c>
      <c r="C42" s="52">
        <v>2.74458639E8</v>
      </c>
      <c r="D42" s="43">
        <v>2.99838339E8</v>
      </c>
      <c r="E42" s="43">
        <v>2.93671634E8</v>
      </c>
      <c r="F42" s="43">
        <v>1.2537726E7</v>
      </c>
      <c r="G42" s="43">
        <v>2.9402417E7</v>
      </c>
      <c r="H42" s="43">
        <v>81692.0</v>
      </c>
      <c r="I42" s="43">
        <v>553783.0</v>
      </c>
      <c r="J42" s="44">
        <v>53.0938</v>
      </c>
      <c r="K42" s="44">
        <v>9.330643548E-4</v>
      </c>
      <c r="L42" s="44">
        <v>1.979433234</v>
      </c>
      <c r="M42" s="44">
        <v>1.02099864</v>
      </c>
      <c r="N42" s="44">
        <v>0.1475162654</v>
      </c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ht="12.75" customHeight="1">
      <c r="A43" s="39" t="s">
        <v>91</v>
      </c>
      <c r="B43" s="56">
        <v>6.1366924E8</v>
      </c>
      <c r="C43" s="52">
        <v>2.36253922E8</v>
      </c>
      <c r="D43" s="43">
        <v>3.17864024E8</v>
      </c>
      <c r="E43" s="43">
        <v>2.95805216E8</v>
      </c>
      <c r="F43" s="43">
        <v>5.1100628E7</v>
      </c>
      <c r="G43" s="43">
        <v>2515063.0</v>
      </c>
      <c r="H43" s="43">
        <v>69367.0</v>
      </c>
      <c r="I43" s="43">
        <v>925266.0</v>
      </c>
      <c r="J43" s="44">
        <v>2.7182</v>
      </c>
      <c r="K43" s="44">
        <v>0.001507760109</v>
      </c>
      <c r="L43" s="44">
        <v>1.930603005</v>
      </c>
      <c r="M43" s="44">
        <v>1.074572072</v>
      </c>
      <c r="N43" s="44">
        <v>0.07496979247</v>
      </c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</row>
    <row r="44" ht="12.75" customHeight="1">
      <c r="A44" s="57"/>
      <c r="B44" s="58"/>
    </row>
    <row r="45" ht="12.75" customHeight="1">
      <c r="A45" s="57"/>
      <c r="B45" s="58"/>
    </row>
    <row r="46" ht="12.75" customHeight="1">
      <c r="A46" s="57"/>
      <c r="B46" s="58"/>
    </row>
    <row r="47" ht="12.75" customHeight="1">
      <c r="A47" s="57"/>
      <c r="B47" s="58"/>
    </row>
    <row r="48" ht="12.75" customHeight="1">
      <c r="A48" s="57"/>
      <c r="B48" s="58"/>
    </row>
    <row r="49" ht="12.75" customHeight="1">
      <c r="A49" s="57"/>
      <c r="B49" s="58"/>
    </row>
    <row r="50" ht="12.75" customHeight="1">
      <c r="A50" s="57"/>
      <c r="B50" s="58"/>
    </row>
    <row r="51" ht="12.75" customHeight="1">
      <c r="A51" s="57"/>
      <c r="B51" s="58"/>
    </row>
    <row r="52" ht="12.75" customHeight="1">
      <c r="A52" s="57"/>
      <c r="B52" s="58"/>
    </row>
    <row r="53" ht="12.75" customHeight="1">
      <c r="A53" s="57"/>
      <c r="B53" s="58"/>
    </row>
    <row r="54" ht="12.75" customHeight="1">
      <c r="A54" s="57"/>
      <c r="B54" s="58"/>
    </row>
    <row r="55" ht="12.75" customHeight="1">
      <c r="A55" s="57"/>
      <c r="B55" s="58"/>
    </row>
    <row r="56" ht="12.75" customHeight="1">
      <c r="A56" s="57"/>
      <c r="B56" s="58"/>
    </row>
    <row r="57" ht="12.75" customHeight="1">
      <c r="A57" s="57"/>
      <c r="B57" s="58"/>
    </row>
    <row r="58" ht="12.75" customHeight="1">
      <c r="A58" s="57"/>
      <c r="B58" s="58"/>
    </row>
    <row r="59" ht="12.75" customHeight="1">
      <c r="A59" s="57"/>
      <c r="B59" s="58"/>
    </row>
    <row r="60" ht="12.75" customHeight="1">
      <c r="A60" s="57"/>
      <c r="B60" s="58"/>
    </row>
    <row r="61" ht="12.75" customHeight="1">
      <c r="A61" s="57"/>
      <c r="B61" s="58"/>
    </row>
    <row r="62" ht="12.75" customHeight="1">
      <c r="A62" s="57"/>
      <c r="B62" s="58"/>
    </row>
    <row r="63" ht="12.75" customHeight="1">
      <c r="A63" s="57"/>
      <c r="B63" s="58"/>
    </row>
    <row r="64" ht="12.75" customHeight="1">
      <c r="A64" s="57"/>
      <c r="B64" s="58"/>
    </row>
    <row r="65" ht="12.75" customHeight="1">
      <c r="A65" s="57"/>
      <c r="B65" s="58"/>
    </row>
    <row r="66" ht="12.75" customHeight="1">
      <c r="A66" s="57"/>
      <c r="B66" s="58"/>
    </row>
    <row r="67" ht="12.75" customHeight="1">
      <c r="A67" s="57"/>
      <c r="B67" s="58"/>
    </row>
    <row r="68" ht="12.75" customHeight="1">
      <c r="A68" s="57"/>
      <c r="B68" s="58"/>
    </row>
    <row r="69" ht="12.75" customHeight="1">
      <c r="A69" s="57"/>
      <c r="B69" s="58"/>
    </row>
    <row r="70" ht="12.75" customHeight="1">
      <c r="A70" s="57"/>
      <c r="B70" s="58"/>
    </row>
    <row r="71" ht="12.75" customHeight="1">
      <c r="A71" s="57"/>
      <c r="B71" s="58"/>
    </row>
    <row r="72" ht="12.75" customHeight="1">
      <c r="A72" s="57"/>
      <c r="B72" s="58"/>
    </row>
    <row r="73" ht="12.75" customHeight="1">
      <c r="A73" s="57"/>
      <c r="B73" s="58"/>
    </row>
    <row r="74" ht="12.75" customHeight="1">
      <c r="A74" s="57"/>
      <c r="B74" s="58"/>
    </row>
    <row r="75" ht="12.75" customHeight="1">
      <c r="A75" s="57"/>
      <c r="B75" s="58"/>
    </row>
    <row r="76" ht="12.75" customHeight="1">
      <c r="A76" s="57"/>
      <c r="B76" s="58"/>
    </row>
    <row r="77" ht="12.75" customHeight="1">
      <c r="A77" s="57"/>
      <c r="B77" s="58"/>
    </row>
    <row r="78" ht="12.75" customHeight="1">
      <c r="A78" s="57"/>
      <c r="B78" s="58"/>
    </row>
    <row r="79" ht="12.75" customHeight="1">
      <c r="A79" s="57"/>
      <c r="B79" s="58"/>
    </row>
    <row r="80" ht="12.75" customHeight="1">
      <c r="A80" s="57"/>
      <c r="B80" s="58"/>
    </row>
    <row r="81" ht="12.75" customHeight="1">
      <c r="A81" s="57"/>
      <c r="B81" s="58"/>
    </row>
    <row r="82" ht="12.75" customHeight="1">
      <c r="A82" s="57"/>
      <c r="B82" s="58"/>
    </row>
    <row r="83" ht="12.75" customHeight="1">
      <c r="A83" s="57"/>
      <c r="B83" s="58"/>
    </row>
    <row r="84" ht="12.75" customHeight="1">
      <c r="A84" s="57"/>
      <c r="B84" s="58"/>
    </row>
    <row r="85" ht="12.75" customHeight="1">
      <c r="A85" s="57"/>
      <c r="B85" s="58"/>
    </row>
    <row r="86" ht="12.75" customHeight="1">
      <c r="A86" s="57"/>
      <c r="B86" s="58"/>
    </row>
    <row r="87" ht="12.75" customHeight="1">
      <c r="A87" s="57"/>
      <c r="B87" s="58"/>
    </row>
    <row r="88" ht="12.75" customHeight="1">
      <c r="A88" s="57"/>
      <c r="B88" s="58"/>
    </row>
    <row r="89" ht="12.75" customHeight="1">
      <c r="A89" s="57"/>
      <c r="B89" s="58"/>
    </row>
    <row r="90" ht="12.75" customHeight="1">
      <c r="A90" s="57"/>
      <c r="B90" s="58"/>
    </row>
    <row r="91" ht="12.75" customHeight="1">
      <c r="A91" s="57"/>
      <c r="B91" s="58"/>
    </row>
    <row r="92" ht="12.75" customHeight="1">
      <c r="A92" s="57"/>
      <c r="B92" s="58"/>
    </row>
    <row r="93" ht="12.75" customHeight="1">
      <c r="A93" s="57"/>
      <c r="B93" s="58"/>
    </row>
    <row r="94" ht="12.75" customHeight="1">
      <c r="A94" s="57"/>
      <c r="B94" s="58"/>
    </row>
    <row r="95" ht="12.75" customHeight="1">
      <c r="A95" s="57"/>
      <c r="B95" s="58"/>
    </row>
    <row r="96" ht="12.75" customHeight="1">
      <c r="A96" s="57"/>
      <c r="B96" s="58"/>
    </row>
    <row r="97" ht="12.75" customHeight="1">
      <c r="A97" s="57"/>
      <c r="B97" s="58"/>
    </row>
    <row r="98" ht="12.75" customHeight="1">
      <c r="A98" s="57"/>
      <c r="B98" s="58"/>
    </row>
    <row r="99" ht="12.75" customHeight="1">
      <c r="A99" s="57"/>
      <c r="B99" s="58"/>
    </row>
    <row r="100" ht="12.75" customHeight="1">
      <c r="A100" s="57"/>
      <c r="B100" s="58"/>
    </row>
    <row r="101" ht="12.75" customHeight="1">
      <c r="A101" s="57"/>
      <c r="B101" s="58"/>
    </row>
    <row r="102" ht="12.75" customHeight="1">
      <c r="A102" s="57"/>
      <c r="B102" s="58"/>
    </row>
    <row r="103" ht="12.75" customHeight="1">
      <c r="A103" s="57"/>
      <c r="B103" s="58"/>
    </row>
    <row r="104" ht="12.75" customHeight="1">
      <c r="A104" s="57"/>
      <c r="B104" s="58"/>
    </row>
    <row r="105" ht="12.75" customHeight="1">
      <c r="A105" s="57"/>
      <c r="B105" s="58"/>
    </row>
    <row r="106" ht="12.75" customHeight="1">
      <c r="A106" s="57"/>
      <c r="B106" s="58"/>
    </row>
    <row r="107" ht="12.75" customHeight="1">
      <c r="A107" s="57"/>
      <c r="B107" s="58"/>
    </row>
    <row r="108" ht="12.75" customHeight="1">
      <c r="A108" s="57"/>
      <c r="B108" s="58"/>
    </row>
    <row r="109" ht="12.75" customHeight="1">
      <c r="A109" s="57"/>
      <c r="B109" s="58"/>
    </row>
    <row r="110" ht="12.75" customHeight="1">
      <c r="A110" s="57"/>
      <c r="B110" s="58"/>
    </row>
    <row r="111" ht="12.75" customHeight="1">
      <c r="A111" s="57"/>
      <c r="B111" s="58"/>
    </row>
    <row r="112" ht="12.75" customHeight="1">
      <c r="A112" s="57"/>
      <c r="B112" s="58"/>
    </row>
    <row r="113" ht="12.75" customHeight="1">
      <c r="A113" s="57"/>
      <c r="B113" s="58"/>
    </row>
    <row r="114" ht="12.75" customHeight="1">
      <c r="A114" s="57"/>
      <c r="B114" s="58"/>
    </row>
    <row r="115" ht="12.75" customHeight="1">
      <c r="A115" s="57"/>
      <c r="B115" s="58"/>
    </row>
    <row r="116" ht="12.75" customHeight="1">
      <c r="A116" s="57"/>
      <c r="B116" s="58"/>
    </row>
    <row r="117" ht="12.75" customHeight="1">
      <c r="A117" s="57"/>
      <c r="B117" s="58"/>
    </row>
    <row r="118" ht="12.75" customHeight="1">
      <c r="A118" s="57"/>
      <c r="B118" s="58"/>
    </row>
    <row r="119" ht="12.75" customHeight="1">
      <c r="A119" s="57"/>
      <c r="B119" s="58"/>
    </row>
    <row r="120" ht="12.75" customHeight="1">
      <c r="A120" s="57"/>
      <c r="B120" s="58"/>
    </row>
    <row r="121" ht="12.75" customHeight="1">
      <c r="A121" s="57"/>
      <c r="B121" s="58"/>
    </row>
    <row r="122" ht="12.75" customHeight="1">
      <c r="A122" s="57"/>
      <c r="B122" s="58"/>
    </row>
    <row r="123" ht="12.75" customHeight="1">
      <c r="A123" s="57"/>
      <c r="B123" s="58"/>
    </row>
    <row r="124" ht="12.75" customHeight="1">
      <c r="A124" s="57"/>
      <c r="B124" s="58"/>
    </row>
    <row r="125" ht="12.75" customHeight="1">
      <c r="A125" s="57"/>
      <c r="B125" s="58"/>
    </row>
    <row r="126" ht="12.75" customHeight="1">
      <c r="A126" s="57"/>
      <c r="B126" s="58"/>
    </row>
    <row r="127" ht="12.75" customHeight="1">
      <c r="A127" s="57"/>
      <c r="B127" s="58"/>
    </row>
    <row r="128" ht="12.75" customHeight="1">
      <c r="A128" s="57"/>
      <c r="B128" s="58"/>
    </row>
    <row r="129" ht="12.75" customHeight="1">
      <c r="A129" s="57"/>
      <c r="B129" s="58"/>
    </row>
    <row r="130" ht="12.75" customHeight="1">
      <c r="A130" s="57"/>
      <c r="B130" s="58"/>
    </row>
    <row r="131" ht="12.75" customHeight="1">
      <c r="A131" s="57"/>
      <c r="B131" s="58"/>
    </row>
    <row r="132" ht="12.75" customHeight="1">
      <c r="A132" s="57"/>
      <c r="B132" s="58"/>
    </row>
    <row r="133" ht="12.75" customHeight="1">
      <c r="A133" s="57"/>
      <c r="B133" s="58"/>
    </row>
    <row r="134" ht="12.75" customHeight="1">
      <c r="A134" s="57"/>
      <c r="B134" s="58"/>
    </row>
    <row r="135" ht="12.75" customHeight="1">
      <c r="A135" s="57"/>
      <c r="B135" s="58"/>
    </row>
    <row r="136" ht="12.75" customHeight="1">
      <c r="A136" s="57"/>
      <c r="B136" s="58"/>
    </row>
    <row r="137" ht="12.75" customHeight="1">
      <c r="A137" s="57"/>
      <c r="B137" s="58"/>
    </row>
    <row r="138" ht="12.75" customHeight="1">
      <c r="A138" s="57"/>
      <c r="B138" s="58"/>
    </row>
    <row r="139" ht="12.75" customHeight="1">
      <c r="A139" s="57"/>
      <c r="B139" s="58"/>
    </row>
    <row r="140" ht="12.75" customHeight="1">
      <c r="A140" s="57"/>
      <c r="B140" s="58"/>
    </row>
    <row r="141" ht="12.75" customHeight="1">
      <c r="A141" s="57"/>
      <c r="B141" s="58"/>
    </row>
    <row r="142" ht="12.75" customHeight="1">
      <c r="A142" s="57"/>
      <c r="B142" s="58"/>
    </row>
    <row r="143" ht="12.75" customHeight="1">
      <c r="A143" s="57"/>
      <c r="B143" s="58"/>
    </row>
    <row r="144" ht="12.75" customHeight="1">
      <c r="A144" s="57"/>
      <c r="B144" s="58"/>
    </row>
    <row r="145" ht="12.75" customHeight="1">
      <c r="A145" s="57"/>
      <c r="B145" s="58"/>
    </row>
    <row r="146" ht="12.75" customHeight="1">
      <c r="A146" s="57"/>
      <c r="B146" s="58"/>
    </row>
    <row r="147" ht="12.75" customHeight="1">
      <c r="A147" s="57"/>
      <c r="B147" s="58"/>
    </row>
    <row r="148" ht="12.75" customHeight="1">
      <c r="A148" s="57"/>
      <c r="B148" s="58"/>
    </row>
    <row r="149" ht="12.75" customHeight="1">
      <c r="A149" s="57"/>
      <c r="B149" s="58"/>
    </row>
    <row r="150" ht="12.75" customHeight="1">
      <c r="A150" s="57"/>
      <c r="B150" s="58"/>
    </row>
    <row r="151" ht="12.75" customHeight="1">
      <c r="A151" s="57"/>
      <c r="B151" s="58"/>
    </row>
    <row r="152" ht="12.75" customHeight="1">
      <c r="A152" s="57"/>
      <c r="B152" s="58"/>
    </row>
    <row r="153" ht="12.75" customHeight="1">
      <c r="A153" s="57"/>
      <c r="B153" s="58"/>
    </row>
    <row r="154" ht="12.75" customHeight="1">
      <c r="A154" s="57"/>
      <c r="B154" s="58"/>
    </row>
    <row r="155" ht="12.75" customHeight="1">
      <c r="A155" s="57"/>
      <c r="B155" s="58"/>
    </row>
    <row r="156" ht="12.75" customHeight="1">
      <c r="A156" s="57"/>
      <c r="B156" s="58"/>
    </row>
    <row r="157" ht="12.75" customHeight="1">
      <c r="A157" s="57"/>
      <c r="B157" s="58"/>
    </row>
    <row r="158" ht="12.75" customHeight="1">
      <c r="A158" s="57"/>
      <c r="B158" s="58"/>
    </row>
    <row r="159" ht="12.75" customHeight="1">
      <c r="A159" s="57"/>
      <c r="B159" s="58"/>
    </row>
    <row r="160" ht="12.75" customHeight="1">
      <c r="A160" s="57"/>
      <c r="B160" s="58"/>
    </row>
    <row r="161" ht="12.75" customHeight="1">
      <c r="A161" s="57"/>
      <c r="B161" s="58"/>
    </row>
    <row r="162" ht="12.75" customHeight="1">
      <c r="A162" s="57"/>
      <c r="B162" s="58"/>
    </row>
    <row r="163" ht="12.75" customHeight="1">
      <c r="A163" s="57"/>
      <c r="B163" s="58"/>
    </row>
    <row r="164" ht="12.75" customHeight="1">
      <c r="A164" s="57"/>
      <c r="B164" s="58"/>
    </row>
    <row r="165" ht="12.75" customHeight="1">
      <c r="A165" s="57"/>
      <c r="B165" s="58"/>
    </row>
    <row r="166" ht="12.75" customHeight="1">
      <c r="A166" s="57"/>
      <c r="B166" s="58"/>
    </row>
    <row r="167" ht="12.75" customHeight="1">
      <c r="A167" s="57"/>
      <c r="B167" s="58"/>
    </row>
    <row r="168" ht="12.75" customHeight="1">
      <c r="A168" s="57"/>
      <c r="B168" s="58"/>
    </row>
    <row r="169" ht="12.75" customHeight="1">
      <c r="A169" s="57"/>
      <c r="B169" s="58"/>
    </row>
    <row r="170" ht="12.75" customHeight="1">
      <c r="A170" s="57"/>
      <c r="B170" s="58"/>
    </row>
    <row r="171" ht="12.75" customHeight="1">
      <c r="A171" s="57"/>
      <c r="B171" s="58"/>
    </row>
    <row r="172" ht="12.75" customHeight="1">
      <c r="A172" s="57"/>
      <c r="B172" s="58"/>
    </row>
    <row r="173" ht="12.75" customHeight="1">
      <c r="A173" s="57"/>
      <c r="B173" s="58"/>
    </row>
    <row r="174" ht="12.75" customHeight="1">
      <c r="A174" s="57"/>
      <c r="B174" s="58"/>
    </row>
    <row r="175" ht="12.75" customHeight="1">
      <c r="A175" s="57"/>
      <c r="B175" s="58"/>
    </row>
    <row r="176" ht="12.75" customHeight="1">
      <c r="A176" s="57"/>
      <c r="B176" s="58"/>
    </row>
    <row r="177" ht="12.75" customHeight="1">
      <c r="A177" s="57"/>
      <c r="B177" s="58"/>
    </row>
    <row r="178" ht="12.75" customHeight="1">
      <c r="A178" s="57"/>
      <c r="B178" s="58"/>
    </row>
    <row r="179" ht="12.75" customHeight="1">
      <c r="A179" s="57"/>
      <c r="B179" s="58"/>
    </row>
    <row r="180" ht="12.75" customHeight="1">
      <c r="A180" s="57"/>
      <c r="B180" s="58"/>
    </row>
    <row r="181" ht="12.75" customHeight="1">
      <c r="A181" s="57"/>
      <c r="B181" s="58"/>
    </row>
    <row r="182" ht="12.75" customHeight="1">
      <c r="A182" s="57"/>
      <c r="B182" s="58"/>
    </row>
    <row r="183" ht="12.75" customHeight="1">
      <c r="A183" s="57"/>
      <c r="B183" s="58"/>
    </row>
    <row r="184" ht="12.75" customHeight="1">
      <c r="A184" s="57"/>
      <c r="B184" s="58"/>
    </row>
    <row r="185" ht="12.75" customHeight="1">
      <c r="A185" s="57"/>
      <c r="B185" s="58"/>
    </row>
    <row r="186" ht="12.75" customHeight="1">
      <c r="A186" s="57"/>
      <c r="B186" s="58"/>
    </row>
    <row r="187" ht="12.75" customHeight="1">
      <c r="A187" s="57"/>
      <c r="B187" s="58"/>
    </row>
    <row r="188" ht="12.75" customHeight="1">
      <c r="A188" s="57"/>
      <c r="B188" s="58"/>
    </row>
    <row r="189" ht="12.75" customHeight="1">
      <c r="A189" s="57"/>
      <c r="B189" s="58"/>
    </row>
    <row r="190" ht="12.75" customHeight="1">
      <c r="A190" s="57"/>
      <c r="B190" s="58"/>
    </row>
    <row r="191" ht="12.75" customHeight="1">
      <c r="A191" s="57"/>
      <c r="B191" s="58"/>
    </row>
    <row r="192" ht="12.75" customHeight="1">
      <c r="A192" s="57"/>
      <c r="B192" s="58"/>
    </row>
    <row r="193" ht="12.75" customHeight="1">
      <c r="A193" s="57"/>
      <c r="B193" s="58"/>
    </row>
    <row r="194" ht="12.75" customHeight="1">
      <c r="A194" s="57"/>
      <c r="B194" s="58"/>
    </row>
    <row r="195" ht="12.75" customHeight="1">
      <c r="A195" s="57"/>
      <c r="B195" s="58"/>
    </row>
    <row r="196" ht="12.75" customHeight="1">
      <c r="A196" s="57"/>
      <c r="B196" s="58"/>
    </row>
    <row r="197" ht="12.75" customHeight="1">
      <c r="A197" s="57"/>
      <c r="B197" s="58"/>
    </row>
    <row r="198" ht="12.75" customHeight="1">
      <c r="A198" s="57"/>
      <c r="B198" s="58"/>
    </row>
    <row r="199" ht="12.75" customHeight="1">
      <c r="A199" s="57"/>
      <c r="B199" s="58"/>
    </row>
    <row r="200" ht="12.75" customHeight="1">
      <c r="A200" s="57"/>
      <c r="B200" s="58"/>
    </row>
    <row r="201" ht="12.75" customHeight="1">
      <c r="A201" s="57"/>
      <c r="B201" s="58"/>
    </row>
    <row r="202" ht="12.75" customHeight="1">
      <c r="A202" s="57"/>
      <c r="B202" s="58"/>
    </row>
    <row r="203" ht="12.75" customHeight="1">
      <c r="A203" s="57"/>
      <c r="B203" s="58"/>
    </row>
    <row r="204" ht="12.75" customHeight="1">
      <c r="A204" s="57"/>
      <c r="B204" s="58"/>
    </row>
    <row r="205" ht="12.75" customHeight="1">
      <c r="A205" s="57"/>
      <c r="B205" s="58"/>
    </row>
    <row r="206" ht="12.75" customHeight="1">
      <c r="A206" s="57"/>
      <c r="B206" s="58"/>
    </row>
    <row r="207" ht="12.75" customHeight="1">
      <c r="A207" s="57"/>
      <c r="B207" s="58"/>
    </row>
    <row r="208" ht="12.75" customHeight="1">
      <c r="A208" s="57"/>
      <c r="B208" s="58"/>
    </row>
    <row r="209" ht="12.75" customHeight="1">
      <c r="A209" s="57"/>
      <c r="B209" s="58"/>
    </row>
    <row r="210" ht="12.75" customHeight="1">
      <c r="A210" s="57"/>
      <c r="B210" s="58"/>
    </row>
    <row r="211" ht="12.75" customHeight="1">
      <c r="A211" s="57"/>
      <c r="B211" s="58"/>
    </row>
    <row r="212" ht="12.75" customHeight="1">
      <c r="A212" s="57"/>
      <c r="B212" s="58"/>
    </row>
    <row r="213" ht="12.75" customHeight="1">
      <c r="A213" s="57"/>
      <c r="B213" s="58"/>
    </row>
    <row r="214" ht="12.75" customHeight="1">
      <c r="A214" s="57"/>
      <c r="B214" s="58"/>
    </row>
    <row r="215" ht="12.75" customHeight="1">
      <c r="A215" s="57"/>
      <c r="B215" s="58"/>
    </row>
    <row r="216" ht="12.75" customHeight="1">
      <c r="A216" s="57"/>
      <c r="B216" s="58"/>
    </row>
    <row r="217" ht="12.75" customHeight="1">
      <c r="A217" s="57"/>
      <c r="B217" s="58"/>
    </row>
    <row r="218" ht="12.75" customHeight="1">
      <c r="A218" s="57"/>
      <c r="B218" s="58"/>
    </row>
    <row r="219" ht="12.75" customHeight="1">
      <c r="A219" s="57"/>
      <c r="B219" s="58"/>
    </row>
    <row r="220" ht="12.75" customHeight="1">
      <c r="A220" s="57"/>
      <c r="B220" s="58"/>
    </row>
    <row r="221" ht="12.75" customHeight="1">
      <c r="A221" s="57"/>
      <c r="B221" s="58"/>
    </row>
    <row r="222" ht="12.75" customHeight="1">
      <c r="A222" s="57"/>
      <c r="B222" s="58"/>
    </row>
    <row r="223" ht="12.75" customHeight="1">
      <c r="A223" s="57"/>
      <c r="B223" s="58"/>
    </row>
    <row r="224" ht="12.75" customHeight="1">
      <c r="A224" s="57"/>
      <c r="B224" s="58"/>
    </row>
    <row r="225" ht="12.75" customHeight="1">
      <c r="A225" s="57"/>
      <c r="B225" s="58"/>
    </row>
    <row r="226" ht="12.75" customHeight="1">
      <c r="A226" s="57"/>
      <c r="B226" s="58"/>
    </row>
    <row r="227" ht="12.75" customHeight="1">
      <c r="A227" s="57"/>
      <c r="B227" s="58"/>
    </row>
    <row r="228" ht="12.75" customHeight="1">
      <c r="A228" s="57"/>
      <c r="B228" s="58"/>
    </row>
    <row r="229" ht="12.75" customHeight="1">
      <c r="A229" s="57"/>
      <c r="B229" s="58"/>
    </row>
    <row r="230" ht="12.75" customHeight="1">
      <c r="A230" s="57"/>
      <c r="B230" s="58"/>
    </row>
    <row r="231" ht="12.75" customHeight="1">
      <c r="A231" s="57"/>
      <c r="B231" s="58"/>
    </row>
    <row r="232" ht="12.75" customHeight="1">
      <c r="A232" s="57"/>
      <c r="B232" s="58"/>
    </row>
    <row r="233" ht="12.75" customHeight="1">
      <c r="A233" s="57"/>
      <c r="B233" s="58"/>
    </row>
    <row r="234" ht="12.75" customHeight="1">
      <c r="A234" s="57"/>
      <c r="B234" s="58"/>
    </row>
    <row r="235" ht="12.75" customHeight="1">
      <c r="A235" s="57"/>
      <c r="B235" s="58"/>
    </row>
    <row r="236" ht="12.75" customHeight="1">
      <c r="A236" s="57"/>
      <c r="B236" s="58"/>
    </row>
    <row r="237" ht="12.75" customHeight="1">
      <c r="A237" s="57"/>
      <c r="B237" s="58"/>
    </row>
    <row r="238" ht="12.75" customHeight="1">
      <c r="A238" s="57"/>
      <c r="B238" s="58"/>
    </row>
    <row r="239" ht="12.75" customHeight="1">
      <c r="A239" s="57"/>
      <c r="B239" s="58"/>
    </row>
    <row r="240" ht="12.75" customHeight="1">
      <c r="A240" s="57"/>
      <c r="B240" s="58"/>
    </row>
    <row r="241" ht="12.75" customHeight="1">
      <c r="A241" s="57"/>
      <c r="B241" s="58"/>
    </row>
    <row r="242" ht="12.75" customHeight="1">
      <c r="A242" s="57"/>
      <c r="B242" s="58"/>
    </row>
    <row r="243" ht="12.75" customHeight="1">
      <c r="A243" s="57"/>
      <c r="B243" s="58"/>
    </row>
    <row r="244" ht="12.75" customHeight="1">
      <c r="A244" s="57"/>
      <c r="B244" s="58"/>
    </row>
    <row r="245" ht="12.75" customHeight="1">
      <c r="A245" s="57"/>
      <c r="B245" s="58"/>
    </row>
    <row r="246" ht="12.75" customHeight="1">
      <c r="A246" s="57"/>
      <c r="B246" s="58"/>
    </row>
    <row r="247" ht="12.75" customHeight="1">
      <c r="A247" s="57"/>
      <c r="B247" s="58"/>
    </row>
    <row r="248" ht="12.75" customHeight="1">
      <c r="A248" s="57"/>
      <c r="B248" s="58"/>
    </row>
    <row r="249" ht="12.75" customHeight="1">
      <c r="A249" s="57"/>
      <c r="B249" s="58"/>
    </row>
    <row r="250" ht="12.75" customHeight="1">
      <c r="A250" s="57"/>
      <c r="B250" s="58"/>
    </row>
    <row r="251" ht="12.75" customHeight="1">
      <c r="A251" s="57"/>
      <c r="B251" s="58"/>
    </row>
    <row r="252" ht="12.75" customHeight="1">
      <c r="A252" s="57"/>
      <c r="B252" s="58"/>
    </row>
    <row r="253" ht="12.75" customHeight="1">
      <c r="A253" s="57"/>
      <c r="B253" s="58"/>
    </row>
    <row r="254" ht="12.75" customHeight="1">
      <c r="A254" s="57"/>
      <c r="B254" s="58"/>
    </row>
    <row r="255" ht="12.75" customHeight="1">
      <c r="A255" s="57"/>
      <c r="B255" s="58"/>
    </row>
    <row r="256" ht="12.75" customHeight="1">
      <c r="A256" s="57"/>
      <c r="B256" s="58"/>
    </row>
    <row r="257" ht="12.75" customHeight="1">
      <c r="A257" s="57"/>
      <c r="B257" s="58"/>
    </row>
    <row r="258" ht="12.75" customHeight="1">
      <c r="A258" s="57"/>
      <c r="B258" s="58"/>
    </row>
    <row r="259" ht="12.75" customHeight="1">
      <c r="A259" s="57"/>
      <c r="B259" s="58"/>
    </row>
    <row r="260" ht="12.75" customHeight="1">
      <c r="A260" s="57"/>
      <c r="B260" s="58"/>
    </row>
    <row r="261" ht="12.75" customHeight="1">
      <c r="A261" s="57"/>
      <c r="B261" s="58"/>
    </row>
    <row r="262" ht="12.75" customHeight="1">
      <c r="A262" s="57"/>
      <c r="B262" s="58"/>
    </row>
    <row r="263" ht="12.75" customHeight="1">
      <c r="A263" s="57"/>
      <c r="B263" s="58"/>
    </row>
    <row r="264" ht="12.75" customHeight="1">
      <c r="A264" s="57"/>
      <c r="B264" s="58"/>
    </row>
    <row r="265" ht="12.75" customHeight="1">
      <c r="A265" s="57"/>
      <c r="B265" s="58"/>
    </row>
    <row r="266" ht="12.75" customHeight="1">
      <c r="A266" s="57"/>
      <c r="B266" s="58"/>
    </row>
    <row r="267" ht="12.75" customHeight="1">
      <c r="A267" s="57"/>
      <c r="B267" s="58"/>
    </row>
    <row r="268" ht="12.75" customHeight="1">
      <c r="A268" s="57"/>
      <c r="B268" s="58"/>
    </row>
    <row r="269" ht="12.75" customHeight="1">
      <c r="A269" s="57"/>
      <c r="B269" s="58"/>
    </row>
    <row r="270" ht="12.75" customHeight="1">
      <c r="A270" s="57"/>
      <c r="B270" s="58"/>
    </row>
    <row r="271" ht="12.75" customHeight="1">
      <c r="A271" s="57"/>
      <c r="B271" s="58"/>
    </row>
    <row r="272" ht="12.75" customHeight="1">
      <c r="A272" s="57"/>
      <c r="B272" s="58"/>
    </row>
    <row r="273" ht="12.75" customHeight="1">
      <c r="A273" s="57"/>
      <c r="B273" s="58"/>
    </row>
    <row r="274" ht="12.75" customHeight="1">
      <c r="A274" s="57"/>
      <c r="B274" s="58"/>
    </row>
    <row r="275" ht="12.75" customHeight="1">
      <c r="A275" s="57"/>
      <c r="B275" s="58"/>
    </row>
    <row r="276" ht="12.75" customHeight="1">
      <c r="A276" s="57"/>
      <c r="B276" s="58"/>
    </row>
    <row r="277" ht="12.75" customHeight="1">
      <c r="A277" s="57"/>
      <c r="B277" s="58"/>
    </row>
    <row r="278" ht="12.75" customHeight="1">
      <c r="A278" s="57"/>
      <c r="B278" s="58"/>
    </row>
    <row r="279" ht="12.75" customHeight="1">
      <c r="A279" s="57"/>
      <c r="B279" s="58"/>
    </row>
    <row r="280" ht="12.75" customHeight="1">
      <c r="A280" s="57"/>
      <c r="B280" s="58"/>
    </row>
    <row r="281" ht="12.75" customHeight="1">
      <c r="A281" s="57"/>
      <c r="B281" s="58"/>
    </row>
    <row r="282" ht="12.75" customHeight="1">
      <c r="A282" s="57"/>
      <c r="B282" s="58"/>
    </row>
    <row r="283" ht="12.75" customHeight="1">
      <c r="A283" s="57"/>
      <c r="B283" s="58"/>
    </row>
    <row r="284" ht="12.75" customHeight="1">
      <c r="A284" s="57"/>
      <c r="B284" s="58"/>
    </row>
    <row r="285" ht="12.75" customHeight="1">
      <c r="A285" s="57"/>
      <c r="B285" s="58"/>
    </row>
    <row r="286" ht="12.75" customHeight="1">
      <c r="A286" s="57"/>
      <c r="B286" s="58"/>
    </row>
    <row r="287" ht="12.75" customHeight="1">
      <c r="A287" s="57"/>
      <c r="B287" s="58"/>
    </row>
    <row r="288" ht="12.75" customHeight="1">
      <c r="A288" s="57"/>
      <c r="B288" s="58"/>
    </row>
    <row r="289" ht="12.75" customHeight="1">
      <c r="A289" s="57"/>
      <c r="B289" s="58"/>
    </row>
    <row r="290" ht="12.75" customHeight="1">
      <c r="A290" s="57"/>
      <c r="B290" s="58"/>
    </row>
    <row r="291" ht="12.75" customHeight="1">
      <c r="A291" s="57"/>
      <c r="B291" s="58"/>
    </row>
    <row r="292" ht="12.75" customHeight="1">
      <c r="A292" s="57"/>
      <c r="B292" s="58"/>
    </row>
    <row r="293" ht="12.75" customHeight="1">
      <c r="A293" s="57"/>
      <c r="B293" s="58"/>
    </row>
    <row r="294" ht="12.75" customHeight="1">
      <c r="A294" s="57"/>
      <c r="B294" s="58"/>
    </row>
    <row r="295" ht="12.75" customHeight="1">
      <c r="A295" s="57"/>
      <c r="B295" s="58"/>
    </row>
    <row r="296" ht="12.75" customHeight="1">
      <c r="A296" s="57"/>
      <c r="B296" s="58"/>
    </row>
    <row r="297" ht="12.75" customHeight="1">
      <c r="A297" s="57"/>
      <c r="B297" s="58"/>
    </row>
    <row r="298" ht="12.75" customHeight="1">
      <c r="A298" s="57"/>
      <c r="B298" s="58"/>
    </row>
    <row r="299" ht="12.75" customHeight="1">
      <c r="A299" s="57"/>
      <c r="B299" s="58"/>
    </row>
    <row r="300" ht="12.75" customHeight="1">
      <c r="A300" s="57"/>
      <c r="B300" s="58"/>
    </row>
    <row r="301" ht="12.75" customHeight="1">
      <c r="A301" s="57"/>
      <c r="B301" s="58"/>
    </row>
    <row r="302" ht="12.75" customHeight="1">
      <c r="A302" s="57"/>
      <c r="B302" s="58"/>
    </row>
    <row r="303" ht="12.75" customHeight="1">
      <c r="A303" s="57"/>
      <c r="B303" s="58"/>
    </row>
    <row r="304" ht="12.75" customHeight="1">
      <c r="A304" s="57"/>
      <c r="B304" s="58"/>
    </row>
    <row r="305" ht="12.75" customHeight="1">
      <c r="A305" s="57"/>
      <c r="B305" s="58"/>
    </row>
    <row r="306" ht="12.75" customHeight="1">
      <c r="A306" s="57"/>
      <c r="B306" s="58"/>
    </row>
    <row r="307" ht="12.75" customHeight="1">
      <c r="A307" s="57"/>
      <c r="B307" s="58"/>
    </row>
    <row r="308" ht="12.75" customHeight="1">
      <c r="A308" s="57"/>
      <c r="B308" s="58"/>
    </row>
    <row r="309" ht="12.75" customHeight="1">
      <c r="A309" s="57"/>
      <c r="B309" s="58"/>
    </row>
    <row r="310" ht="12.75" customHeight="1">
      <c r="A310" s="57"/>
      <c r="B310" s="58"/>
    </row>
    <row r="311" ht="12.75" customHeight="1">
      <c r="A311" s="57"/>
      <c r="B311" s="58"/>
    </row>
    <row r="312" ht="12.75" customHeight="1">
      <c r="A312" s="57"/>
      <c r="B312" s="58"/>
    </row>
    <row r="313" ht="12.75" customHeight="1">
      <c r="A313" s="57"/>
      <c r="B313" s="58"/>
    </row>
    <row r="314" ht="12.75" customHeight="1">
      <c r="A314" s="57"/>
      <c r="B314" s="58"/>
    </row>
    <row r="315" ht="12.75" customHeight="1">
      <c r="A315" s="57"/>
      <c r="B315" s="58"/>
    </row>
    <row r="316" ht="12.75" customHeight="1">
      <c r="A316" s="57"/>
      <c r="B316" s="58"/>
    </row>
    <row r="317" ht="12.75" customHeight="1">
      <c r="A317" s="57"/>
      <c r="B317" s="58"/>
    </row>
    <row r="318" ht="12.75" customHeight="1">
      <c r="A318" s="57"/>
      <c r="B318" s="58"/>
    </row>
    <row r="319" ht="12.75" customHeight="1">
      <c r="A319" s="57"/>
      <c r="B319" s="58"/>
    </row>
    <row r="320" ht="12.75" customHeight="1">
      <c r="A320" s="57"/>
      <c r="B320" s="58"/>
    </row>
    <row r="321" ht="12.75" customHeight="1">
      <c r="A321" s="57"/>
      <c r="B321" s="58"/>
    </row>
    <row r="322" ht="12.75" customHeight="1">
      <c r="A322" s="57"/>
      <c r="B322" s="58"/>
    </row>
    <row r="323" ht="12.75" customHeight="1">
      <c r="A323" s="57"/>
      <c r="B323" s="58"/>
    </row>
    <row r="324" ht="12.75" customHeight="1">
      <c r="A324" s="57"/>
      <c r="B324" s="58"/>
    </row>
    <row r="325" ht="12.75" customHeight="1">
      <c r="A325" s="57"/>
      <c r="B325" s="58"/>
    </row>
    <row r="326" ht="12.75" customHeight="1">
      <c r="A326" s="57"/>
      <c r="B326" s="58"/>
    </row>
    <row r="327" ht="12.75" customHeight="1">
      <c r="A327" s="57"/>
      <c r="B327" s="58"/>
    </row>
    <row r="328" ht="12.75" customHeight="1">
      <c r="A328" s="57"/>
      <c r="B328" s="58"/>
    </row>
    <row r="329" ht="12.75" customHeight="1">
      <c r="A329" s="57"/>
      <c r="B329" s="58"/>
    </row>
    <row r="330" ht="12.75" customHeight="1">
      <c r="A330" s="57"/>
      <c r="B330" s="58"/>
    </row>
    <row r="331" ht="12.75" customHeight="1">
      <c r="A331" s="57"/>
      <c r="B331" s="58"/>
    </row>
    <row r="332" ht="12.75" customHeight="1">
      <c r="A332" s="57"/>
      <c r="B332" s="58"/>
    </row>
    <row r="333" ht="12.75" customHeight="1">
      <c r="A333" s="57"/>
      <c r="B333" s="58"/>
    </row>
    <row r="334" ht="12.75" customHeight="1">
      <c r="A334" s="57"/>
      <c r="B334" s="58"/>
    </row>
    <row r="335" ht="12.75" customHeight="1">
      <c r="A335" s="57"/>
      <c r="B335" s="58"/>
    </row>
    <row r="336" ht="12.75" customHeight="1">
      <c r="A336" s="57"/>
      <c r="B336" s="58"/>
    </row>
    <row r="337" ht="12.75" customHeight="1">
      <c r="A337" s="57"/>
      <c r="B337" s="58"/>
    </row>
    <row r="338" ht="12.75" customHeight="1">
      <c r="A338" s="57"/>
      <c r="B338" s="58"/>
    </row>
    <row r="339" ht="12.75" customHeight="1">
      <c r="A339" s="57"/>
      <c r="B339" s="58"/>
    </row>
    <row r="340" ht="12.75" customHeight="1">
      <c r="A340" s="57"/>
      <c r="B340" s="58"/>
    </row>
    <row r="341" ht="12.75" customHeight="1">
      <c r="A341" s="57"/>
      <c r="B341" s="58"/>
    </row>
    <row r="342" ht="12.75" customHeight="1">
      <c r="A342" s="57"/>
      <c r="B342" s="58"/>
    </row>
    <row r="343" ht="12.75" customHeight="1">
      <c r="A343" s="57"/>
      <c r="B343" s="58"/>
    </row>
    <row r="344" ht="12.75" customHeight="1">
      <c r="A344" s="57"/>
      <c r="B344" s="58"/>
    </row>
    <row r="345" ht="12.75" customHeight="1">
      <c r="A345" s="57"/>
      <c r="B345" s="58"/>
    </row>
    <row r="346" ht="12.75" customHeight="1">
      <c r="A346" s="57"/>
      <c r="B346" s="58"/>
    </row>
    <row r="347" ht="12.75" customHeight="1">
      <c r="A347" s="57"/>
      <c r="B347" s="58"/>
    </row>
    <row r="348" ht="12.75" customHeight="1">
      <c r="A348" s="57"/>
      <c r="B348" s="58"/>
    </row>
    <row r="349" ht="12.75" customHeight="1">
      <c r="A349" s="57"/>
      <c r="B349" s="58"/>
    </row>
    <row r="350" ht="12.75" customHeight="1">
      <c r="A350" s="57"/>
      <c r="B350" s="58"/>
    </row>
    <row r="351" ht="12.75" customHeight="1">
      <c r="A351" s="57"/>
      <c r="B351" s="58"/>
    </row>
    <row r="352" ht="12.75" customHeight="1">
      <c r="A352" s="57"/>
      <c r="B352" s="58"/>
    </row>
    <row r="353" ht="12.75" customHeight="1">
      <c r="A353" s="57"/>
      <c r="B353" s="58"/>
    </row>
    <row r="354" ht="12.75" customHeight="1">
      <c r="A354" s="57"/>
      <c r="B354" s="58"/>
    </row>
    <row r="355" ht="12.75" customHeight="1">
      <c r="A355" s="57"/>
      <c r="B355" s="58"/>
    </row>
    <row r="356" ht="12.75" customHeight="1">
      <c r="A356" s="57"/>
      <c r="B356" s="58"/>
    </row>
    <row r="357" ht="12.75" customHeight="1">
      <c r="A357" s="57"/>
      <c r="B357" s="58"/>
    </row>
    <row r="358" ht="12.75" customHeight="1">
      <c r="A358" s="57"/>
      <c r="B358" s="58"/>
    </row>
    <row r="359" ht="12.75" customHeight="1">
      <c r="A359" s="57"/>
      <c r="B359" s="58"/>
    </row>
    <row r="360" ht="12.75" customHeight="1">
      <c r="A360" s="57"/>
      <c r="B360" s="58"/>
    </row>
    <row r="361" ht="12.75" customHeight="1">
      <c r="A361" s="57"/>
      <c r="B361" s="58"/>
    </row>
    <row r="362" ht="12.75" customHeight="1">
      <c r="A362" s="57"/>
      <c r="B362" s="58"/>
    </row>
    <row r="363" ht="12.75" customHeight="1">
      <c r="A363" s="57"/>
      <c r="B363" s="58"/>
    </row>
    <row r="364" ht="12.75" customHeight="1">
      <c r="A364" s="57"/>
      <c r="B364" s="58"/>
    </row>
    <row r="365" ht="12.75" customHeight="1">
      <c r="A365" s="57"/>
      <c r="B365" s="58"/>
    </row>
    <row r="366" ht="12.75" customHeight="1">
      <c r="A366" s="57"/>
      <c r="B366" s="58"/>
    </row>
    <row r="367" ht="12.75" customHeight="1">
      <c r="A367" s="57"/>
      <c r="B367" s="58"/>
    </row>
    <row r="368" ht="12.75" customHeight="1">
      <c r="A368" s="57"/>
      <c r="B368" s="58"/>
    </row>
    <row r="369" ht="12.75" customHeight="1">
      <c r="A369" s="57"/>
      <c r="B369" s="58"/>
    </row>
    <row r="370" ht="12.75" customHeight="1">
      <c r="A370" s="57"/>
      <c r="B370" s="58"/>
    </row>
    <row r="371" ht="12.75" customHeight="1">
      <c r="A371" s="57"/>
      <c r="B371" s="58"/>
    </row>
    <row r="372" ht="12.75" customHeight="1">
      <c r="A372" s="57"/>
      <c r="B372" s="58"/>
    </row>
    <row r="373" ht="12.75" customHeight="1">
      <c r="A373" s="57"/>
      <c r="B373" s="58"/>
    </row>
    <row r="374" ht="12.75" customHeight="1">
      <c r="A374" s="57"/>
      <c r="B374" s="58"/>
    </row>
    <row r="375" ht="12.75" customHeight="1">
      <c r="A375" s="57"/>
      <c r="B375" s="58"/>
    </row>
    <row r="376" ht="12.75" customHeight="1">
      <c r="A376" s="57"/>
      <c r="B376" s="58"/>
    </row>
    <row r="377" ht="12.75" customHeight="1">
      <c r="A377" s="57"/>
      <c r="B377" s="58"/>
    </row>
    <row r="378" ht="12.75" customHeight="1">
      <c r="A378" s="57"/>
      <c r="B378" s="58"/>
    </row>
    <row r="379" ht="12.75" customHeight="1">
      <c r="A379" s="57"/>
      <c r="B379" s="58"/>
    </row>
    <row r="380" ht="12.75" customHeight="1">
      <c r="A380" s="57"/>
      <c r="B380" s="58"/>
    </row>
    <row r="381" ht="12.75" customHeight="1">
      <c r="A381" s="57"/>
      <c r="B381" s="58"/>
    </row>
    <row r="382" ht="12.75" customHeight="1">
      <c r="A382" s="57"/>
      <c r="B382" s="58"/>
    </row>
    <row r="383" ht="12.75" customHeight="1">
      <c r="A383" s="57"/>
      <c r="B383" s="58"/>
    </row>
    <row r="384" ht="12.75" customHeight="1">
      <c r="A384" s="57"/>
      <c r="B384" s="58"/>
    </row>
    <row r="385" ht="12.75" customHeight="1">
      <c r="A385" s="57"/>
      <c r="B385" s="58"/>
    </row>
    <row r="386" ht="12.75" customHeight="1">
      <c r="A386" s="57"/>
      <c r="B386" s="58"/>
    </row>
    <row r="387" ht="12.75" customHeight="1">
      <c r="A387" s="57"/>
      <c r="B387" s="58"/>
    </row>
    <row r="388" ht="12.75" customHeight="1">
      <c r="A388" s="57"/>
      <c r="B388" s="58"/>
    </row>
    <row r="389" ht="12.75" customHeight="1">
      <c r="A389" s="57"/>
      <c r="B389" s="58"/>
    </row>
    <row r="390" ht="12.75" customHeight="1">
      <c r="A390" s="57"/>
      <c r="B390" s="58"/>
    </row>
    <row r="391" ht="12.75" customHeight="1">
      <c r="A391" s="57"/>
      <c r="B391" s="58"/>
    </row>
    <row r="392" ht="12.75" customHeight="1">
      <c r="A392" s="57"/>
      <c r="B392" s="58"/>
    </row>
    <row r="393" ht="12.75" customHeight="1">
      <c r="A393" s="57"/>
      <c r="B393" s="58"/>
    </row>
    <row r="394" ht="12.75" customHeight="1">
      <c r="A394" s="57"/>
      <c r="B394" s="58"/>
    </row>
    <row r="395" ht="12.75" customHeight="1">
      <c r="A395" s="57"/>
      <c r="B395" s="58"/>
    </row>
    <row r="396" ht="12.75" customHeight="1">
      <c r="A396" s="57"/>
      <c r="B396" s="58"/>
    </row>
    <row r="397" ht="12.75" customHeight="1">
      <c r="A397" s="57"/>
      <c r="B397" s="58"/>
    </row>
    <row r="398" ht="12.75" customHeight="1">
      <c r="A398" s="57"/>
      <c r="B398" s="58"/>
    </row>
    <row r="399" ht="12.75" customHeight="1">
      <c r="A399" s="57"/>
      <c r="B399" s="58"/>
    </row>
    <row r="400" ht="12.75" customHeight="1">
      <c r="A400" s="57"/>
      <c r="B400" s="58"/>
    </row>
    <row r="401" ht="12.75" customHeight="1">
      <c r="A401" s="57"/>
      <c r="B401" s="58"/>
    </row>
    <row r="402" ht="12.75" customHeight="1">
      <c r="A402" s="57"/>
      <c r="B402" s="58"/>
    </row>
    <row r="403" ht="12.75" customHeight="1">
      <c r="A403" s="57"/>
      <c r="B403" s="58"/>
    </row>
    <row r="404" ht="12.75" customHeight="1">
      <c r="A404" s="57"/>
      <c r="B404" s="58"/>
    </row>
    <row r="405" ht="12.75" customHeight="1">
      <c r="A405" s="57"/>
      <c r="B405" s="58"/>
    </row>
    <row r="406" ht="12.75" customHeight="1">
      <c r="A406" s="57"/>
      <c r="B406" s="58"/>
    </row>
    <row r="407" ht="12.75" customHeight="1">
      <c r="A407" s="57"/>
      <c r="B407" s="58"/>
    </row>
    <row r="408" ht="12.75" customHeight="1">
      <c r="A408" s="57"/>
      <c r="B408" s="58"/>
    </row>
    <row r="409" ht="12.75" customHeight="1">
      <c r="A409" s="57"/>
      <c r="B409" s="58"/>
    </row>
    <row r="410" ht="12.75" customHeight="1">
      <c r="A410" s="57"/>
      <c r="B410" s="58"/>
    </row>
    <row r="411" ht="12.75" customHeight="1">
      <c r="A411" s="57"/>
      <c r="B411" s="58"/>
    </row>
    <row r="412" ht="12.75" customHeight="1">
      <c r="A412" s="57"/>
      <c r="B412" s="58"/>
    </row>
    <row r="413" ht="12.75" customHeight="1">
      <c r="A413" s="57"/>
      <c r="B413" s="58"/>
    </row>
    <row r="414" ht="12.75" customHeight="1">
      <c r="A414" s="57"/>
      <c r="B414" s="58"/>
    </row>
    <row r="415" ht="12.75" customHeight="1">
      <c r="A415" s="57"/>
      <c r="B415" s="58"/>
    </row>
    <row r="416" ht="12.75" customHeight="1">
      <c r="A416" s="57"/>
      <c r="B416" s="58"/>
    </row>
    <row r="417" ht="12.75" customHeight="1">
      <c r="A417" s="57"/>
      <c r="B417" s="58"/>
    </row>
    <row r="418" ht="12.75" customHeight="1">
      <c r="A418" s="57"/>
      <c r="B418" s="58"/>
    </row>
    <row r="419" ht="12.75" customHeight="1">
      <c r="A419" s="57"/>
      <c r="B419" s="58"/>
    </row>
    <row r="420" ht="12.75" customHeight="1">
      <c r="A420" s="57"/>
      <c r="B420" s="58"/>
    </row>
    <row r="421" ht="12.75" customHeight="1">
      <c r="A421" s="57"/>
      <c r="B421" s="58"/>
    </row>
    <row r="422" ht="12.75" customHeight="1">
      <c r="A422" s="57"/>
      <c r="B422" s="58"/>
    </row>
    <row r="423" ht="12.75" customHeight="1">
      <c r="A423" s="57"/>
      <c r="B423" s="58"/>
    </row>
    <row r="424" ht="12.75" customHeight="1">
      <c r="A424" s="57"/>
      <c r="B424" s="58"/>
    </row>
    <row r="425" ht="12.75" customHeight="1">
      <c r="A425" s="57"/>
      <c r="B425" s="58"/>
    </row>
    <row r="426" ht="12.75" customHeight="1">
      <c r="A426" s="57"/>
      <c r="B426" s="58"/>
    </row>
    <row r="427" ht="12.75" customHeight="1">
      <c r="A427" s="57"/>
      <c r="B427" s="58"/>
    </row>
    <row r="428" ht="12.75" customHeight="1">
      <c r="A428" s="57"/>
      <c r="B428" s="58"/>
    </row>
    <row r="429" ht="12.75" customHeight="1">
      <c r="A429" s="57"/>
      <c r="B429" s="58"/>
    </row>
    <row r="430" ht="12.75" customHeight="1">
      <c r="A430" s="57"/>
      <c r="B430" s="58"/>
    </row>
    <row r="431" ht="12.75" customHeight="1">
      <c r="A431" s="57"/>
      <c r="B431" s="58"/>
    </row>
    <row r="432" ht="12.75" customHeight="1">
      <c r="A432" s="57"/>
      <c r="B432" s="58"/>
    </row>
    <row r="433" ht="12.75" customHeight="1">
      <c r="A433" s="57"/>
      <c r="B433" s="58"/>
    </row>
    <row r="434" ht="12.75" customHeight="1">
      <c r="A434" s="57"/>
      <c r="B434" s="58"/>
    </row>
    <row r="435" ht="12.75" customHeight="1">
      <c r="A435" s="57"/>
      <c r="B435" s="58"/>
    </row>
    <row r="436" ht="12.75" customHeight="1">
      <c r="A436" s="57"/>
      <c r="B436" s="58"/>
    </row>
    <row r="437" ht="12.75" customHeight="1">
      <c r="A437" s="57"/>
      <c r="B437" s="58"/>
    </row>
    <row r="438" ht="12.75" customHeight="1">
      <c r="A438" s="57"/>
      <c r="B438" s="58"/>
    </row>
    <row r="439" ht="12.75" customHeight="1">
      <c r="A439" s="57"/>
      <c r="B439" s="58"/>
    </row>
    <row r="440" ht="12.75" customHeight="1">
      <c r="A440" s="57"/>
      <c r="B440" s="58"/>
    </row>
    <row r="441" ht="12.75" customHeight="1">
      <c r="A441" s="57"/>
      <c r="B441" s="58"/>
    </row>
    <row r="442" ht="12.75" customHeight="1">
      <c r="A442" s="57"/>
      <c r="B442" s="58"/>
    </row>
    <row r="443" ht="12.75" customHeight="1">
      <c r="A443" s="57"/>
      <c r="B443" s="58"/>
    </row>
    <row r="444" ht="12.75" customHeight="1">
      <c r="A444" s="57"/>
      <c r="B444" s="58"/>
    </row>
    <row r="445" ht="12.75" customHeight="1">
      <c r="A445" s="57"/>
      <c r="B445" s="58"/>
    </row>
    <row r="446" ht="12.75" customHeight="1">
      <c r="A446" s="57"/>
      <c r="B446" s="58"/>
    </row>
    <row r="447" ht="12.75" customHeight="1">
      <c r="A447" s="57"/>
      <c r="B447" s="58"/>
    </row>
    <row r="448" ht="12.75" customHeight="1">
      <c r="A448" s="57"/>
      <c r="B448" s="58"/>
    </row>
    <row r="449" ht="12.75" customHeight="1">
      <c r="A449" s="57"/>
      <c r="B449" s="58"/>
    </row>
    <row r="450" ht="12.75" customHeight="1">
      <c r="A450" s="57"/>
      <c r="B450" s="58"/>
    </row>
    <row r="451" ht="12.75" customHeight="1">
      <c r="A451" s="57"/>
      <c r="B451" s="58"/>
    </row>
    <row r="452" ht="12.75" customHeight="1">
      <c r="A452" s="57"/>
      <c r="B452" s="58"/>
    </row>
    <row r="453" ht="12.75" customHeight="1">
      <c r="A453" s="57"/>
      <c r="B453" s="58"/>
    </row>
    <row r="454" ht="12.75" customHeight="1">
      <c r="A454" s="57"/>
      <c r="B454" s="58"/>
    </row>
    <row r="455" ht="12.75" customHeight="1">
      <c r="A455" s="57"/>
      <c r="B455" s="58"/>
    </row>
    <row r="456" ht="12.75" customHeight="1">
      <c r="A456" s="57"/>
      <c r="B456" s="58"/>
    </row>
    <row r="457" ht="12.75" customHeight="1">
      <c r="A457" s="57"/>
      <c r="B457" s="58"/>
    </row>
    <row r="458" ht="12.75" customHeight="1">
      <c r="A458" s="57"/>
      <c r="B458" s="58"/>
    </row>
    <row r="459" ht="12.75" customHeight="1">
      <c r="A459" s="57"/>
      <c r="B459" s="58"/>
    </row>
    <row r="460" ht="12.75" customHeight="1">
      <c r="A460" s="57"/>
      <c r="B460" s="58"/>
    </row>
    <row r="461" ht="12.75" customHeight="1">
      <c r="A461" s="57"/>
      <c r="B461" s="58"/>
    </row>
    <row r="462" ht="12.75" customHeight="1">
      <c r="A462" s="57"/>
      <c r="B462" s="58"/>
    </row>
    <row r="463" ht="12.75" customHeight="1">
      <c r="A463" s="57"/>
      <c r="B463" s="58"/>
    </row>
    <row r="464" ht="12.75" customHeight="1">
      <c r="A464" s="57"/>
      <c r="B464" s="58"/>
    </row>
    <row r="465" ht="12.75" customHeight="1">
      <c r="A465" s="57"/>
      <c r="B465" s="58"/>
    </row>
    <row r="466" ht="12.75" customHeight="1">
      <c r="A466" s="57"/>
      <c r="B466" s="58"/>
    </row>
    <row r="467" ht="12.75" customHeight="1">
      <c r="A467" s="57"/>
      <c r="B467" s="58"/>
    </row>
    <row r="468" ht="12.75" customHeight="1">
      <c r="A468" s="57"/>
      <c r="B468" s="58"/>
    </row>
    <row r="469" ht="12.75" customHeight="1">
      <c r="A469" s="57"/>
      <c r="B469" s="58"/>
    </row>
    <row r="470" ht="12.75" customHeight="1">
      <c r="A470" s="57"/>
      <c r="B470" s="58"/>
    </row>
    <row r="471" ht="12.75" customHeight="1">
      <c r="A471" s="57"/>
      <c r="B471" s="58"/>
    </row>
    <row r="472" ht="12.75" customHeight="1">
      <c r="A472" s="57"/>
      <c r="B472" s="58"/>
    </row>
    <row r="473" ht="12.75" customHeight="1">
      <c r="A473" s="57"/>
      <c r="B473" s="58"/>
    </row>
    <row r="474" ht="12.75" customHeight="1">
      <c r="A474" s="57"/>
      <c r="B474" s="58"/>
    </row>
    <row r="475" ht="12.75" customHeight="1">
      <c r="A475" s="57"/>
      <c r="B475" s="58"/>
    </row>
    <row r="476" ht="12.75" customHeight="1">
      <c r="A476" s="57"/>
      <c r="B476" s="58"/>
    </row>
    <row r="477" ht="12.75" customHeight="1">
      <c r="A477" s="57"/>
      <c r="B477" s="58"/>
    </row>
    <row r="478" ht="12.75" customHeight="1">
      <c r="A478" s="57"/>
      <c r="B478" s="58"/>
    </row>
    <row r="479" ht="12.75" customHeight="1">
      <c r="A479" s="57"/>
      <c r="B479" s="58"/>
    </row>
    <row r="480" ht="12.75" customHeight="1">
      <c r="A480" s="57"/>
      <c r="B480" s="58"/>
    </row>
    <row r="481" ht="12.75" customHeight="1">
      <c r="A481" s="57"/>
      <c r="B481" s="58"/>
    </row>
    <row r="482" ht="12.75" customHeight="1">
      <c r="A482" s="57"/>
      <c r="B482" s="58"/>
    </row>
    <row r="483" ht="12.75" customHeight="1">
      <c r="A483" s="57"/>
      <c r="B483" s="58"/>
    </row>
    <row r="484" ht="12.75" customHeight="1">
      <c r="A484" s="57"/>
      <c r="B484" s="58"/>
    </row>
    <row r="485" ht="12.75" customHeight="1">
      <c r="A485" s="57"/>
      <c r="B485" s="58"/>
    </row>
    <row r="486" ht="12.75" customHeight="1">
      <c r="A486" s="57"/>
      <c r="B486" s="58"/>
    </row>
    <row r="487" ht="12.75" customHeight="1">
      <c r="A487" s="57"/>
      <c r="B487" s="58"/>
    </row>
    <row r="488" ht="12.75" customHeight="1">
      <c r="A488" s="57"/>
      <c r="B488" s="58"/>
    </row>
    <row r="489" ht="12.75" customHeight="1">
      <c r="A489" s="57"/>
      <c r="B489" s="58"/>
    </row>
    <row r="490" ht="12.75" customHeight="1">
      <c r="A490" s="57"/>
      <c r="B490" s="58"/>
    </row>
    <row r="491" ht="12.75" customHeight="1">
      <c r="A491" s="57"/>
      <c r="B491" s="58"/>
    </row>
    <row r="492" ht="12.75" customHeight="1">
      <c r="A492" s="57"/>
      <c r="B492" s="58"/>
    </row>
    <row r="493" ht="12.75" customHeight="1">
      <c r="A493" s="57"/>
      <c r="B493" s="58"/>
    </row>
    <row r="494" ht="12.75" customHeight="1">
      <c r="A494" s="57"/>
      <c r="B494" s="58"/>
    </row>
    <row r="495" ht="12.75" customHeight="1">
      <c r="A495" s="57"/>
      <c r="B495" s="58"/>
    </row>
    <row r="496" ht="12.75" customHeight="1">
      <c r="A496" s="57"/>
      <c r="B496" s="58"/>
    </row>
    <row r="497" ht="12.75" customHeight="1">
      <c r="A497" s="57"/>
      <c r="B497" s="58"/>
    </row>
    <row r="498" ht="12.75" customHeight="1">
      <c r="A498" s="57"/>
      <c r="B498" s="58"/>
    </row>
    <row r="499" ht="12.75" customHeight="1">
      <c r="A499" s="57"/>
      <c r="B499" s="58"/>
    </row>
    <row r="500" ht="12.75" customHeight="1">
      <c r="A500" s="57"/>
      <c r="B500" s="58"/>
    </row>
    <row r="501" ht="12.75" customHeight="1">
      <c r="A501" s="57"/>
      <c r="B501" s="58"/>
    </row>
    <row r="502" ht="12.75" customHeight="1">
      <c r="A502" s="57"/>
      <c r="B502" s="58"/>
    </row>
    <row r="503" ht="12.75" customHeight="1">
      <c r="A503" s="57"/>
      <c r="B503" s="58"/>
    </row>
    <row r="504" ht="12.75" customHeight="1">
      <c r="A504" s="57"/>
      <c r="B504" s="58"/>
    </row>
    <row r="505" ht="12.75" customHeight="1">
      <c r="A505" s="57"/>
      <c r="B505" s="58"/>
    </row>
    <row r="506" ht="12.75" customHeight="1">
      <c r="A506" s="57"/>
      <c r="B506" s="58"/>
    </row>
    <row r="507" ht="12.75" customHeight="1">
      <c r="A507" s="57"/>
      <c r="B507" s="58"/>
    </row>
    <row r="508" ht="12.75" customHeight="1">
      <c r="A508" s="57"/>
      <c r="B508" s="58"/>
    </row>
    <row r="509" ht="12.75" customHeight="1">
      <c r="A509" s="57"/>
      <c r="B509" s="58"/>
    </row>
    <row r="510" ht="12.75" customHeight="1">
      <c r="A510" s="57"/>
      <c r="B510" s="58"/>
    </row>
    <row r="511" ht="12.75" customHeight="1">
      <c r="A511" s="57"/>
      <c r="B511" s="58"/>
    </row>
    <row r="512" ht="12.75" customHeight="1">
      <c r="A512" s="57"/>
      <c r="B512" s="58"/>
    </row>
    <row r="513" ht="12.75" customHeight="1">
      <c r="A513" s="57"/>
      <c r="B513" s="58"/>
    </row>
    <row r="514" ht="12.75" customHeight="1">
      <c r="A514" s="57"/>
      <c r="B514" s="58"/>
    </row>
    <row r="515" ht="12.75" customHeight="1">
      <c r="A515" s="57"/>
      <c r="B515" s="58"/>
    </row>
    <row r="516" ht="12.75" customHeight="1">
      <c r="A516" s="57"/>
      <c r="B516" s="58"/>
    </row>
    <row r="517" ht="12.75" customHeight="1">
      <c r="A517" s="57"/>
      <c r="B517" s="58"/>
    </row>
    <row r="518" ht="12.75" customHeight="1">
      <c r="A518" s="57"/>
      <c r="B518" s="58"/>
    </row>
    <row r="519" ht="12.75" customHeight="1">
      <c r="A519" s="57"/>
      <c r="B519" s="58"/>
    </row>
    <row r="520" ht="12.75" customHeight="1">
      <c r="A520" s="57"/>
      <c r="B520" s="58"/>
    </row>
    <row r="521" ht="12.75" customHeight="1">
      <c r="A521" s="57"/>
      <c r="B521" s="58"/>
    </row>
    <row r="522" ht="12.75" customHeight="1">
      <c r="A522" s="57"/>
      <c r="B522" s="58"/>
    </row>
    <row r="523" ht="12.75" customHeight="1">
      <c r="A523" s="57"/>
      <c r="B523" s="58"/>
    </row>
    <row r="524" ht="12.75" customHeight="1">
      <c r="A524" s="57"/>
      <c r="B524" s="58"/>
    </row>
    <row r="525" ht="12.75" customHeight="1">
      <c r="A525" s="57"/>
      <c r="B525" s="58"/>
    </row>
    <row r="526" ht="12.75" customHeight="1">
      <c r="A526" s="57"/>
      <c r="B526" s="58"/>
    </row>
    <row r="527" ht="12.75" customHeight="1">
      <c r="A527" s="57"/>
      <c r="B527" s="58"/>
    </row>
    <row r="528" ht="12.75" customHeight="1">
      <c r="A528" s="57"/>
      <c r="B528" s="58"/>
    </row>
    <row r="529" ht="12.75" customHeight="1">
      <c r="A529" s="57"/>
      <c r="B529" s="58"/>
    </row>
    <row r="530" ht="12.75" customHeight="1">
      <c r="A530" s="57"/>
      <c r="B530" s="58"/>
    </row>
    <row r="531" ht="12.75" customHeight="1">
      <c r="A531" s="57"/>
      <c r="B531" s="58"/>
    </row>
    <row r="532" ht="12.75" customHeight="1">
      <c r="A532" s="57"/>
      <c r="B532" s="58"/>
    </row>
    <row r="533" ht="12.75" customHeight="1">
      <c r="A533" s="57"/>
      <c r="B533" s="58"/>
    </row>
    <row r="534" ht="12.75" customHeight="1">
      <c r="A534" s="57"/>
      <c r="B534" s="58"/>
    </row>
    <row r="535" ht="12.75" customHeight="1">
      <c r="A535" s="57"/>
      <c r="B535" s="58"/>
    </row>
    <row r="536" ht="12.75" customHeight="1">
      <c r="A536" s="57"/>
      <c r="B536" s="58"/>
    </row>
    <row r="537" ht="12.75" customHeight="1">
      <c r="A537" s="57"/>
      <c r="B537" s="58"/>
    </row>
    <row r="538" ht="12.75" customHeight="1">
      <c r="A538" s="57"/>
      <c r="B538" s="58"/>
    </row>
    <row r="539" ht="12.75" customHeight="1">
      <c r="A539" s="57"/>
      <c r="B539" s="58"/>
    </row>
    <row r="540" ht="12.75" customHeight="1">
      <c r="A540" s="57"/>
      <c r="B540" s="58"/>
    </row>
    <row r="541" ht="12.75" customHeight="1">
      <c r="A541" s="57"/>
      <c r="B541" s="58"/>
    </row>
    <row r="542" ht="12.75" customHeight="1">
      <c r="A542" s="57"/>
      <c r="B542" s="58"/>
    </row>
    <row r="543" ht="12.75" customHeight="1">
      <c r="A543" s="57"/>
      <c r="B543" s="58"/>
    </row>
    <row r="544" ht="12.75" customHeight="1">
      <c r="A544" s="57"/>
      <c r="B544" s="58"/>
    </row>
    <row r="545" ht="12.75" customHeight="1">
      <c r="A545" s="57"/>
      <c r="B545" s="58"/>
    </row>
    <row r="546" ht="12.75" customHeight="1">
      <c r="A546" s="57"/>
      <c r="B546" s="58"/>
    </row>
    <row r="547" ht="12.75" customHeight="1">
      <c r="A547" s="57"/>
      <c r="B547" s="58"/>
    </row>
    <row r="548" ht="12.75" customHeight="1">
      <c r="A548" s="57"/>
      <c r="B548" s="58"/>
    </row>
    <row r="549" ht="12.75" customHeight="1">
      <c r="A549" s="57"/>
      <c r="B549" s="58"/>
    </row>
    <row r="550" ht="12.75" customHeight="1">
      <c r="A550" s="57"/>
      <c r="B550" s="58"/>
    </row>
    <row r="551" ht="12.75" customHeight="1">
      <c r="A551" s="57"/>
      <c r="B551" s="58"/>
    </row>
    <row r="552" ht="12.75" customHeight="1">
      <c r="A552" s="57"/>
      <c r="B552" s="58"/>
    </row>
    <row r="553" ht="12.75" customHeight="1">
      <c r="A553" s="57"/>
      <c r="B553" s="58"/>
    </row>
    <row r="554" ht="12.75" customHeight="1">
      <c r="A554" s="57"/>
      <c r="B554" s="58"/>
    </row>
    <row r="555" ht="12.75" customHeight="1">
      <c r="A555" s="57"/>
      <c r="B555" s="58"/>
    </row>
    <row r="556" ht="12.75" customHeight="1">
      <c r="A556" s="57"/>
      <c r="B556" s="58"/>
    </row>
    <row r="557" ht="12.75" customHeight="1">
      <c r="A557" s="57"/>
      <c r="B557" s="58"/>
    </row>
    <row r="558" ht="12.75" customHeight="1">
      <c r="A558" s="57"/>
      <c r="B558" s="58"/>
    </row>
    <row r="559" ht="12.75" customHeight="1">
      <c r="A559" s="57"/>
      <c r="B559" s="58"/>
    </row>
    <row r="560" ht="12.75" customHeight="1">
      <c r="A560" s="57"/>
      <c r="B560" s="58"/>
    </row>
    <row r="561" ht="12.75" customHeight="1">
      <c r="A561" s="57"/>
      <c r="B561" s="58"/>
    </row>
    <row r="562" ht="12.75" customHeight="1">
      <c r="A562" s="57"/>
      <c r="B562" s="58"/>
    </row>
    <row r="563" ht="12.75" customHeight="1">
      <c r="A563" s="57"/>
      <c r="B563" s="58"/>
    </row>
    <row r="564" ht="12.75" customHeight="1">
      <c r="A564" s="57"/>
      <c r="B564" s="58"/>
    </row>
    <row r="565" ht="12.75" customHeight="1">
      <c r="A565" s="57"/>
      <c r="B565" s="58"/>
    </row>
    <row r="566" ht="12.75" customHeight="1">
      <c r="A566" s="57"/>
      <c r="B566" s="58"/>
    </row>
    <row r="567" ht="12.75" customHeight="1">
      <c r="A567" s="57"/>
      <c r="B567" s="58"/>
    </row>
    <row r="568" ht="12.75" customHeight="1">
      <c r="A568" s="57"/>
      <c r="B568" s="58"/>
    </row>
    <row r="569" ht="12.75" customHeight="1">
      <c r="A569" s="57"/>
      <c r="B569" s="58"/>
    </row>
    <row r="570" ht="12.75" customHeight="1">
      <c r="A570" s="57"/>
      <c r="B570" s="58"/>
    </row>
    <row r="571" ht="12.75" customHeight="1">
      <c r="A571" s="57"/>
      <c r="B571" s="58"/>
    </row>
    <row r="572" ht="12.75" customHeight="1">
      <c r="A572" s="57"/>
      <c r="B572" s="58"/>
    </row>
    <row r="573" ht="12.75" customHeight="1">
      <c r="A573" s="57"/>
      <c r="B573" s="58"/>
    </row>
    <row r="574" ht="12.75" customHeight="1">
      <c r="A574" s="57"/>
      <c r="B574" s="58"/>
    </row>
    <row r="575" ht="12.75" customHeight="1">
      <c r="A575" s="57"/>
      <c r="B575" s="58"/>
    </row>
    <row r="576" ht="12.75" customHeight="1">
      <c r="A576" s="57"/>
      <c r="B576" s="58"/>
    </row>
    <row r="577" ht="12.75" customHeight="1">
      <c r="A577" s="57"/>
      <c r="B577" s="58"/>
    </row>
    <row r="578" ht="12.75" customHeight="1">
      <c r="A578" s="57"/>
      <c r="B578" s="58"/>
    </row>
    <row r="579" ht="12.75" customHeight="1">
      <c r="A579" s="57"/>
      <c r="B579" s="58"/>
    </row>
    <row r="580" ht="12.75" customHeight="1">
      <c r="A580" s="57"/>
      <c r="B580" s="58"/>
    </row>
    <row r="581" ht="12.75" customHeight="1">
      <c r="A581" s="57"/>
      <c r="B581" s="58"/>
    </row>
    <row r="582" ht="12.75" customHeight="1">
      <c r="A582" s="57"/>
      <c r="B582" s="58"/>
    </row>
    <row r="583" ht="12.75" customHeight="1">
      <c r="A583" s="57"/>
      <c r="B583" s="58"/>
    </row>
    <row r="584" ht="12.75" customHeight="1">
      <c r="A584" s="57"/>
      <c r="B584" s="58"/>
    </row>
    <row r="585" ht="12.75" customHeight="1">
      <c r="A585" s="57"/>
      <c r="B585" s="58"/>
    </row>
    <row r="586" ht="12.75" customHeight="1">
      <c r="A586" s="57"/>
      <c r="B586" s="58"/>
    </row>
    <row r="587" ht="12.75" customHeight="1">
      <c r="A587" s="57"/>
      <c r="B587" s="58"/>
    </row>
    <row r="588" ht="12.75" customHeight="1">
      <c r="A588" s="57"/>
      <c r="B588" s="58"/>
    </row>
    <row r="589" ht="12.75" customHeight="1">
      <c r="A589" s="57"/>
      <c r="B589" s="58"/>
    </row>
    <row r="590" ht="12.75" customHeight="1">
      <c r="A590" s="57"/>
      <c r="B590" s="58"/>
    </row>
    <row r="591" ht="12.75" customHeight="1">
      <c r="A591" s="57"/>
      <c r="B591" s="58"/>
    </row>
    <row r="592" ht="12.75" customHeight="1">
      <c r="A592" s="57"/>
      <c r="B592" s="58"/>
    </row>
    <row r="593" ht="12.75" customHeight="1">
      <c r="A593" s="57"/>
      <c r="B593" s="58"/>
    </row>
    <row r="594" ht="12.75" customHeight="1">
      <c r="A594" s="57"/>
      <c r="B594" s="58"/>
    </row>
    <row r="595" ht="12.75" customHeight="1">
      <c r="A595" s="57"/>
      <c r="B595" s="58"/>
    </row>
    <row r="596" ht="12.75" customHeight="1">
      <c r="A596" s="57"/>
      <c r="B596" s="58"/>
    </row>
    <row r="597" ht="12.75" customHeight="1">
      <c r="A597" s="57"/>
      <c r="B597" s="58"/>
    </row>
    <row r="598" ht="12.75" customHeight="1">
      <c r="A598" s="57"/>
      <c r="B598" s="58"/>
    </row>
    <row r="599" ht="12.75" customHeight="1">
      <c r="A599" s="57"/>
      <c r="B599" s="58"/>
    </row>
    <row r="600" ht="12.75" customHeight="1">
      <c r="A600" s="57"/>
      <c r="B600" s="58"/>
    </row>
    <row r="601" ht="12.75" customHeight="1">
      <c r="A601" s="57"/>
      <c r="B601" s="58"/>
    </row>
    <row r="602" ht="12.75" customHeight="1">
      <c r="A602" s="57"/>
      <c r="B602" s="58"/>
    </row>
    <row r="603" ht="12.75" customHeight="1">
      <c r="A603" s="57"/>
      <c r="B603" s="58"/>
    </row>
    <row r="604" ht="12.75" customHeight="1">
      <c r="A604" s="57"/>
      <c r="B604" s="58"/>
    </row>
    <row r="605" ht="12.75" customHeight="1">
      <c r="A605" s="57"/>
      <c r="B605" s="58"/>
    </row>
    <row r="606" ht="12.75" customHeight="1">
      <c r="A606" s="57"/>
      <c r="B606" s="58"/>
    </row>
    <row r="607" ht="12.75" customHeight="1">
      <c r="A607" s="57"/>
      <c r="B607" s="58"/>
    </row>
    <row r="608" ht="12.75" customHeight="1">
      <c r="A608" s="57"/>
      <c r="B608" s="58"/>
    </row>
    <row r="609" ht="12.75" customHeight="1">
      <c r="A609" s="57"/>
      <c r="B609" s="58"/>
    </row>
    <row r="610" ht="12.75" customHeight="1">
      <c r="A610" s="57"/>
      <c r="B610" s="58"/>
    </row>
    <row r="611" ht="12.75" customHeight="1">
      <c r="A611" s="57"/>
      <c r="B611" s="58"/>
    </row>
    <row r="612" ht="12.75" customHeight="1">
      <c r="A612" s="57"/>
      <c r="B612" s="58"/>
    </row>
    <row r="613" ht="12.75" customHeight="1">
      <c r="A613" s="57"/>
      <c r="B613" s="58"/>
    </row>
    <row r="614" ht="12.75" customHeight="1">
      <c r="A614" s="57"/>
      <c r="B614" s="58"/>
    </row>
    <row r="615" ht="12.75" customHeight="1">
      <c r="A615" s="57"/>
      <c r="B615" s="58"/>
    </row>
    <row r="616" ht="12.75" customHeight="1">
      <c r="A616" s="57"/>
      <c r="B616" s="58"/>
    </row>
    <row r="617" ht="12.75" customHeight="1">
      <c r="A617" s="57"/>
      <c r="B617" s="58"/>
    </row>
    <row r="618" ht="12.75" customHeight="1">
      <c r="A618" s="57"/>
      <c r="B618" s="58"/>
    </row>
    <row r="619" ht="12.75" customHeight="1">
      <c r="A619" s="57"/>
      <c r="B619" s="58"/>
    </row>
    <row r="620" ht="12.75" customHeight="1">
      <c r="A620" s="57"/>
      <c r="B620" s="58"/>
    </row>
    <row r="621" ht="12.75" customHeight="1">
      <c r="A621" s="57"/>
      <c r="B621" s="58"/>
    </row>
    <row r="622" ht="12.75" customHeight="1">
      <c r="A622" s="57"/>
      <c r="B622" s="58"/>
    </row>
    <row r="623" ht="12.75" customHeight="1">
      <c r="A623" s="57"/>
      <c r="B623" s="58"/>
    </row>
    <row r="624" ht="12.75" customHeight="1">
      <c r="A624" s="57"/>
      <c r="B624" s="58"/>
    </row>
    <row r="625" ht="12.75" customHeight="1">
      <c r="A625" s="57"/>
      <c r="B625" s="58"/>
    </row>
    <row r="626" ht="12.75" customHeight="1">
      <c r="A626" s="57"/>
      <c r="B626" s="58"/>
    </row>
    <row r="627" ht="12.75" customHeight="1">
      <c r="A627" s="57"/>
      <c r="B627" s="58"/>
    </row>
    <row r="628" ht="12.75" customHeight="1">
      <c r="A628" s="57"/>
      <c r="B628" s="58"/>
    </row>
    <row r="629" ht="12.75" customHeight="1">
      <c r="A629" s="57"/>
      <c r="B629" s="58"/>
    </row>
    <row r="630" ht="12.75" customHeight="1">
      <c r="A630" s="57"/>
      <c r="B630" s="58"/>
    </row>
    <row r="631" ht="12.75" customHeight="1">
      <c r="A631" s="57"/>
      <c r="B631" s="58"/>
    </row>
    <row r="632" ht="12.75" customHeight="1">
      <c r="A632" s="57"/>
      <c r="B632" s="58"/>
    </row>
    <row r="633" ht="12.75" customHeight="1">
      <c r="A633" s="57"/>
      <c r="B633" s="58"/>
    </row>
    <row r="634" ht="12.75" customHeight="1">
      <c r="A634" s="57"/>
      <c r="B634" s="58"/>
    </row>
    <row r="635" ht="12.75" customHeight="1">
      <c r="A635" s="57"/>
      <c r="B635" s="58"/>
    </row>
    <row r="636" ht="12.75" customHeight="1">
      <c r="A636" s="57"/>
      <c r="B636" s="58"/>
    </row>
    <row r="637" ht="12.75" customHeight="1">
      <c r="A637" s="57"/>
      <c r="B637" s="58"/>
    </row>
    <row r="638" ht="12.75" customHeight="1">
      <c r="A638" s="57"/>
      <c r="B638" s="58"/>
    </row>
    <row r="639" ht="12.75" customHeight="1">
      <c r="A639" s="57"/>
      <c r="B639" s="58"/>
    </row>
    <row r="640" ht="12.75" customHeight="1">
      <c r="A640" s="57"/>
      <c r="B640" s="58"/>
    </row>
    <row r="641" ht="12.75" customHeight="1">
      <c r="A641" s="57"/>
      <c r="B641" s="58"/>
    </row>
    <row r="642" ht="12.75" customHeight="1">
      <c r="A642" s="57"/>
      <c r="B642" s="58"/>
    </row>
    <row r="643" ht="12.75" customHeight="1">
      <c r="A643" s="57"/>
      <c r="B643" s="58"/>
    </row>
    <row r="644" ht="12.75" customHeight="1">
      <c r="A644" s="57"/>
      <c r="B644" s="58"/>
    </row>
    <row r="645" ht="12.75" customHeight="1">
      <c r="A645" s="57"/>
      <c r="B645" s="58"/>
    </row>
    <row r="646" ht="12.75" customHeight="1">
      <c r="A646" s="57"/>
      <c r="B646" s="58"/>
    </row>
    <row r="647" ht="12.75" customHeight="1">
      <c r="A647" s="57"/>
      <c r="B647" s="58"/>
    </row>
    <row r="648" ht="12.75" customHeight="1">
      <c r="A648" s="57"/>
      <c r="B648" s="58"/>
    </row>
    <row r="649" ht="12.75" customHeight="1">
      <c r="A649" s="57"/>
      <c r="B649" s="58"/>
    </row>
    <row r="650" ht="12.75" customHeight="1">
      <c r="A650" s="57"/>
      <c r="B650" s="58"/>
    </row>
    <row r="651" ht="12.75" customHeight="1">
      <c r="A651" s="57"/>
      <c r="B651" s="58"/>
    </row>
    <row r="652" ht="12.75" customHeight="1">
      <c r="A652" s="57"/>
      <c r="B652" s="58"/>
    </row>
    <row r="653" ht="12.75" customHeight="1">
      <c r="A653" s="57"/>
      <c r="B653" s="58"/>
    </row>
    <row r="654" ht="12.75" customHeight="1">
      <c r="A654" s="57"/>
      <c r="B654" s="58"/>
    </row>
    <row r="655" ht="12.75" customHeight="1">
      <c r="A655" s="57"/>
      <c r="B655" s="58"/>
    </row>
    <row r="656" ht="12.75" customHeight="1">
      <c r="A656" s="57"/>
      <c r="B656" s="58"/>
    </row>
    <row r="657" ht="12.75" customHeight="1">
      <c r="A657" s="57"/>
      <c r="B657" s="58"/>
    </row>
    <row r="658" ht="12.75" customHeight="1">
      <c r="A658" s="57"/>
      <c r="B658" s="58"/>
    </row>
    <row r="659" ht="12.75" customHeight="1">
      <c r="A659" s="57"/>
      <c r="B659" s="58"/>
    </row>
    <row r="660" ht="12.75" customHeight="1">
      <c r="A660" s="57"/>
      <c r="B660" s="58"/>
    </row>
    <row r="661" ht="12.75" customHeight="1">
      <c r="A661" s="57"/>
      <c r="B661" s="58"/>
    </row>
    <row r="662" ht="12.75" customHeight="1">
      <c r="A662" s="57"/>
      <c r="B662" s="58"/>
    </row>
    <row r="663" ht="12.75" customHeight="1">
      <c r="A663" s="57"/>
      <c r="B663" s="58"/>
    </row>
    <row r="664" ht="12.75" customHeight="1">
      <c r="A664" s="57"/>
      <c r="B664" s="58"/>
    </row>
    <row r="665" ht="12.75" customHeight="1">
      <c r="A665" s="57"/>
      <c r="B665" s="58"/>
    </row>
    <row r="666" ht="12.75" customHeight="1">
      <c r="A666" s="57"/>
      <c r="B666" s="58"/>
    </row>
    <row r="667" ht="12.75" customHeight="1">
      <c r="A667" s="57"/>
      <c r="B667" s="58"/>
    </row>
    <row r="668" ht="12.75" customHeight="1">
      <c r="A668" s="57"/>
      <c r="B668" s="58"/>
    </row>
    <row r="669" ht="12.75" customHeight="1">
      <c r="A669" s="57"/>
      <c r="B669" s="58"/>
    </row>
    <row r="670" ht="12.75" customHeight="1">
      <c r="A670" s="57"/>
      <c r="B670" s="58"/>
    </row>
    <row r="671" ht="12.75" customHeight="1">
      <c r="A671" s="57"/>
      <c r="B671" s="58"/>
    </row>
    <row r="672" ht="12.75" customHeight="1">
      <c r="A672" s="57"/>
      <c r="B672" s="58"/>
    </row>
    <row r="673" ht="12.75" customHeight="1">
      <c r="A673" s="57"/>
      <c r="B673" s="58"/>
    </row>
    <row r="674" ht="12.75" customHeight="1">
      <c r="A674" s="57"/>
      <c r="B674" s="58"/>
    </row>
    <row r="675" ht="12.75" customHeight="1">
      <c r="A675" s="57"/>
      <c r="B675" s="58"/>
    </row>
    <row r="676" ht="12.75" customHeight="1">
      <c r="A676" s="57"/>
      <c r="B676" s="58"/>
    </row>
    <row r="677" ht="12.75" customHeight="1">
      <c r="A677" s="57"/>
      <c r="B677" s="58"/>
    </row>
    <row r="678" ht="12.75" customHeight="1">
      <c r="A678" s="57"/>
      <c r="B678" s="58"/>
    </row>
    <row r="679" ht="12.75" customHeight="1">
      <c r="A679" s="57"/>
      <c r="B679" s="58"/>
    </row>
    <row r="680" ht="12.75" customHeight="1">
      <c r="A680" s="57"/>
      <c r="B680" s="58"/>
    </row>
    <row r="681" ht="12.75" customHeight="1">
      <c r="A681" s="57"/>
      <c r="B681" s="58"/>
    </row>
    <row r="682" ht="12.75" customHeight="1">
      <c r="A682" s="57"/>
      <c r="B682" s="58"/>
    </row>
    <row r="683" ht="12.75" customHeight="1">
      <c r="A683" s="57"/>
      <c r="B683" s="58"/>
    </row>
    <row r="684" ht="12.75" customHeight="1">
      <c r="A684" s="57"/>
      <c r="B684" s="58"/>
    </row>
    <row r="685" ht="12.75" customHeight="1">
      <c r="A685" s="57"/>
      <c r="B685" s="58"/>
    </row>
    <row r="686" ht="12.75" customHeight="1">
      <c r="A686" s="57"/>
      <c r="B686" s="58"/>
    </row>
    <row r="687" ht="12.75" customHeight="1">
      <c r="A687" s="57"/>
      <c r="B687" s="58"/>
    </row>
    <row r="688" ht="12.75" customHeight="1">
      <c r="A688" s="57"/>
      <c r="B688" s="58"/>
    </row>
    <row r="689" ht="12.75" customHeight="1">
      <c r="A689" s="57"/>
      <c r="B689" s="58"/>
    </row>
    <row r="690" ht="12.75" customHeight="1">
      <c r="A690" s="57"/>
      <c r="B690" s="58"/>
    </row>
    <row r="691" ht="12.75" customHeight="1">
      <c r="A691" s="57"/>
      <c r="B691" s="58"/>
    </row>
    <row r="692" ht="12.75" customHeight="1">
      <c r="A692" s="57"/>
      <c r="B692" s="58"/>
    </row>
    <row r="693" ht="12.75" customHeight="1">
      <c r="A693" s="57"/>
      <c r="B693" s="58"/>
    </row>
    <row r="694" ht="12.75" customHeight="1">
      <c r="A694" s="57"/>
      <c r="B694" s="58"/>
    </row>
    <row r="695" ht="12.75" customHeight="1">
      <c r="A695" s="57"/>
      <c r="B695" s="58"/>
    </row>
    <row r="696" ht="12.75" customHeight="1">
      <c r="A696" s="57"/>
      <c r="B696" s="58"/>
    </row>
    <row r="697" ht="12.75" customHeight="1">
      <c r="A697" s="57"/>
      <c r="B697" s="58"/>
    </row>
    <row r="698" ht="12.75" customHeight="1">
      <c r="A698" s="57"/>
      <c r="B698" s="58"/>
    </row>
    <row r="699" ht="12.75" customHeight="1">
      <c r="A699" s="57"/>
      <c r="B699" s="58"/>
    </row>
    <row r="700" ht="12.75" customHeight="1">
      <c r="A700" s="57"/>
      <c r="B700" s="58"/>
    </row>
    <row r="701" ht="12.75" customHeight="1">
      <c r="A701" s="57"/>
      <c r="B701" s="58"/>
    </row>
    <row r="702" ht="12.75" customHeight="1">
      <c r="A702" s="57"/>
      <c r="B702" s="58"/>
    </row>
    <row r="703" ht="12.75" customHeight="1">
      <c r="A703" s="57"/>
      <c r="B703" s="58"/>
    </row>
    <row r="704" ht="12.75" customHeight="1">
      <c r="A704" s="57"/>
      <c r="B704" s="58"/>
    </row>
    <row r="705" ht="12.75" customHeight="1">
      <c r="A705" s="57"/>
      <c r="B705" s="58"/>
    </row>
    <row r="706" ht="12.75" customHeight="1">
      <c r="A706" s="57"/>
      <c r="B706" s="58"/>
    </row>
    <row r="707" ht="12.75" customHeight="1">
      <c r="A707" s="57"/>
      <c r="B707" s="58"/>
    </row>
    <row r="708" ht="12.75" customHeight="1">
      <c r="A708" s="57"/>
      <c r="B708" s="58"/>
    </row>
    <row r="709" ht="12.75" customHeight="1">
      <c r="A709" s="57"/>
      <c r="B709" s="58"/>
    </row>
    <row r="710" ht="12.75" customHeight="1">
      <c r="A710" s="57"/>
      <c r="B710" s="58"/>
    </row>
    <row r="711" ht="12.75" customHeight="1">
      <c r="A711" s="57"/>
      <c r="B711" s="58"/>
    </row>
    <row r="712" ht="12.75" customHeight="1">
      <c r="A712" s="57"/>
      <c r="B712" s="58"/>
    </row>
    <row r="713" ht="12.75" customHeight="1">
      <c r="A713" s="57"/>
      <c r="B713" s="58"/>
    </row>
    <row r="714" ht="12.75" customHeight="1">
      <c r="A714" s="57"/>
      <c r="B714" s="58"/>
    </row>
    <row r="715" ht="12.75" customHeight="1">
      <c r="A715" s="57"/>
      <c r="B715" s="58"/>
    </row>
    <row r="716" ht="12.75" customHeight="1">
      <c r="A716" s="57"/>
      <c r="B716" s="58"/>
    </row>
    <row r="717" ht="12.75" customHeight="1">
      <c r="A717" s="57"/>
      <c r="B717" s="58"/>
    </row>
    <row r="718" ht="12.75" customHeight="1">
      <c r="A718" s="57"/>
      <c r="B718" s="58"/>
    </row>
    <row r="719" ht="12.75" customHeight="1">
      <c r="A719" s="57"/>
      <c r="B719" s="58"/>
    </row>
    <row r="720" ht="12.75" customHeight="1">
      <c r="A720" s="57"/>
      <c r="B720" s="58"/>
    </row>
    <row r="721" ht="12.75" customHeight="1">
      <c r="A721" s="57"/>
      <c r="B721" s="58"/>
    </row>
    <row r="722" ht="12.75" customHeight="1">
      <c r="A722" s="57"/>
      <c r="B722" s="58"/>
    </row>
    <row r="723" ht="12.75" customHeight="1">
      <c r="A723" s="57"/>
      <c r="B723" s="58"/>
    </row>
    <row r="724" ht="12.75" customHeight="1">
      <c r="A724" s="57"/>
      <c r="B724" s="58"/>
    </row>
    <row r="725" ht="12.75" customHeight="1">
      <c r="A725" s="57"/>
      <c r="B725" s="58"/>
    </row>
    <row r="726" ht="12.75" customHeight="1">
      <c r="A726" s="57"/>
      <c r="B726" s="58"/>
    </row>
    <row r="727" ht="12.75" customHeight="1">
      <c r="A727" s="57"/>
      <c r="B727" s="58"/>
    </row>
    <row r="728" ht="12.75" customHeight="1">
      <c r="A728" s="57"/>
      <c r="B728" s="58"/>
    </row>
    <row r="729" ht="12.75" customHeight="1">
      <c r="A729" s="57"/>
      <c r="B729" s="58"/>
    </row>
    <row r="730" ht="12.75" customHeight="1">
      <c r="A730" s="57"/>
      <c r="B730" s="58"/>
    </row>
    <row r="731" ht="12.75" customHeight="1">
      <c r="A731" s="57"/>
      <c r="B731" s="58"/>
    </row>
    <row r="732" ht="12.75" customHeight="1">
      <c r="A732" s="57"/>
      <c r="B732" s="58"/>
    </row>
    <row r="733" ht="12.75" customHeight="1">
      <c r="A733" s="57"/>
      <c r="B733" s="58"/>
    </row>
    <row r="734" ht="12.75" customHeight="1">
      <c r="A734" s="57"/>
      <c r="B734" s="58"/>
    </row>
    <row r="735" ht="12.75" customHeight="1">
      <c r="A735" s="57"/>
      <c r="B735" s="58"/>
    </row>
    <row r="736" ht="12.75" customHeight="1">
      <c r="A736" s="57"/>
      <c r="B736" s="58"/>
    </row>
    <row r="737" ht="12.75" customHeight="1">
      <c r="A737" s="57"/>
      <c r="B737" s="58"/>
    </row>
    <row r="738" ht="12.75" customHeight="1">
      <c r="A738" s="57"/>
      <c r="B738" s="58"/>
    </row>
    <row r="739" ht="12.75" customHeight="1">
      <c r="A739" s="57"/>
      <c r="B739" s="58"/>
    </row>
    <row r="740" ht="12.75" customHeight="1">
      <c r="A740" s="57"/>
      <c r="B740" s="58"/>
    </row>
    <row r="741" ht="12.75" customHeight="1">
      <c r="A741" s="57"/>
      <c r="B741" s="58"/>
    </row>
    <row r="742" ht="12.75" customHeight="1">
      <c r="A742" s="57"/>
      <c r="B742" s="58"/>
    </row>
    <row r="743" ht="12.75" customHeight="1">
      <c r="A743" s="57"/>
      <c r="B743" s="58"/>
    </row>
    <row r="744" ht="12.75" customHeight="1">
      <c r="A744" s="57"/>
      <c r="B744" s="58"/>
    </row>
    <row r="745" ht="12.75" customHeight="1">
      <c r="A745" s="57"/>
      <c r="B745" s="58"/>
    </row>
    <row r="746" ht="12.75" customHeight="1">
      <c r="A746" s="57"/>
      <c r="B746" s="58"/>
    </row>
    <row r="747" ht="12.75" customHeight="1">
      <c r="A747" s="57"/>
      <c r="B747" s="58"/>
    </row>
    <row r="748" ht="12.75" customHeight="1">
      <c r="A748" s="57"/>
      <c r="B748" s="58"/>
    </row>
    <row r="749" ht="12.75" customHeight="1">
      <c r="A749" s="57"/>
      <c r="B749" s="58"/>
    </row>
    <row r="750" ht="12.75" customHeight="1">
      <c r="A750" s="57"/>
      <c r="B750" s="58"/>
    </row>
    <row r="751" ht="12.75" customHeight="1">
      <c r="A751" s="57"/>
      <c r="B751" s="58"/>
    </row>
    <row r="752" ht="12.75" customHeight="1">
      <c r="A752" s="57"/>
      <c r="B752" s="58"/>
    </row>
    <row r="753" ht="12.75" customHeight="1">
      <c r="A753" s="57"/>
      <c r="B753" s="58"/>
    </row>
    <row r="754" ht="12.75" customHeight="1">
      <c r="A754" s="57"/>
      <c r="B754" s="58"/>
    </row>
    <row r="755" ht="12.75" customHeight="1">
      <c r="A755" s="57"/>
      <c r="B755" s="58"/>
    </row>
    <row r="756" ht="12.75" customHeight="1">
      <c r="A756" s="57"/>
      <c r="B756" s="58"/>
    </row>
    <row r="757" ht="12.75" customHeight="1">
      <c r="A757" s="57"/>
      <c r="B757" s="58"/>
    </row>
    <row r="758" ht="12.75" customHeight="1">
      <c r="A758" s="57"/>
      <c r="B758" s="58"/>
    </row>
    <row r="759" ht="12.75" customHeight="1">
      <c r="A759" s="57"/>
      <c r="B759" s="58"/>
    </row>
    <row r="760" ht="12.75" customHeight="1">
      <c r="A760" s="57"/>
      <c r="B760" s="58"/>
    </row>
    <row r="761" ht="12.75" customHeight="1">
      <c r="A761" s="57"/>
      <c r="B761" s="58"/>
    </row>
    <row r="762" ht="12.75" customHeight="1">
      <c r="A762" s="57"/>
      <c r="B762" s="58"/>
    </row>
    <row r="763" ht="12.75" customHeight="1">
      <c r="A763" s="57"/>
      <c r="B763" s="58"/>
    </row>
    <row r="764" ht="12.75" customHeight="1">
      <c r="A764" s="57"/>
      <c r="B764" s="58"/>
    </row>
    <row r="765" ht="12.75" customHeight="1">
      <c r="A765" s="57"/>
      <c r="B765" s="58"/>
    </row>
    <row r="766" ht="12.75" customHeight="1">
      <c r="A766" s="57"/>
      <c r="B766" s="58"/>
    </row>
    <row r="767" ht="12.75" customHeight="1">
      <c r="A767" s="57"/>
      <c r="B767" s="58"/>
    </row>
    <row r="768" ht="12.75" customHeight="1">
      <c r="A768" s="57"/>
      <c r="B768" s="58"/>
    </row>
    <row r="769" ht="12.75" customHeight="1">
      <c r="A769" s="57"/>
      <c r="B769" s="58"/>
    </row>
    <row r="770" ht="12.75" customHeight="1">
      <c r="A770" s="57"/>
      <c r="B770" s="58"/>
    </row>
    <row r="771" ht="12.75" customHeight="1">
      <c r="A771" s="57"/>
      <c r="B771" s="58"/>
    </row>
    <row r="772" ht="12.75" customHeight="1">
      <c r="A772" s="57"/>
      <c r="B772" s="58"/>
    </row>
    <row r="773" ht="12.75" customHeight="1">
      <c r="A773" s="57"/>
      <c r="B773" s="58"/>
    </row>
    <row r="774" ht="12.75" customHeight="1">
      <c r="A774" s="57"/>
      <c r="B774" s="58"/>
    </row>
    <row r="775" ht="12.75" customHeight="1">
      <c r="A775" s="57"/>
      <c r="B775" s="58"/>
    </row>
    <row r="776" ht="12.75" customHeight="1">
      <c r="A776" s="57"/>
      <c r="B776" s="58"/>
    </row>
    <row r="777" ht="12.75" customHeight="1">
      <c r="A777" s="57"/>
      <c r="B777" s="58"/>
    </row>
    <row r="778" ht="12.75" customHeight="1">
      <c r="A778" s="57"/>
      <c r="B778" s="58"/>
    </row>
    <row r="779" ht="12.75" customHeight="1">
      <c r="A779" s="57"/>
      <c r="B779" s="58"/>
    </row>
    <row r="780" ht="12.75" customHeight="1">
      <c r="A780" s="57"/>
      <c r="B780" s="58"/>
    </row>
    <row r="781" ht="12.75" customHeight="1">
      <c r="A781" s="57"/>
      <c r="B781" s="58"/>
    </row>
    <row r="782" ht="12.75" customHeight="1">
      <c r="A782" s="57"/>
      <c r="B782" s="58"/>
    </row>
    <row r="783" ht="12.75" customHeight="1">
      <c r="A783" s="57"/>
      <c r="B783" s="58"/>
    </row>
    <row r="784" ht="12.75" customHeight="1">
      <c r="A784" s="57"/>
      <c r="B784" s="58"/>
    </row>
    <row r="785" ht="12.75" customHeight="1">
      <c r="A785" s="57"/>
      <c r="B785" s="58"/>
    </row>
    <row r="786" ht="12.75" customHeight="1">
      <c r="A786" s="57"/>
      <c r="B786" s="58"/>
    </row>
    <row r="787" ht="12.75" customHeight="1">
      <c r="A787" s="57"/>
      <c r="B787" s="58"/>
    </row>
    <row r="788" ht="12.75" customHeight="1">
      <c r="A788" s="57"/>
      <c r="B788" s="58"/>
    </row>
    <row r="789" ht="12.75" customHeight="1">
      <c r="A789" s="57"/>
      <c r="B789" s="58"/>
    </row>
    <row r="790" ht="12.75" customHeight="1">
      <c r="A790" s="57"/>
      <c r="B790" s="58"/>
    </row>
    <row r="791" ht="12.75" customHeight="1">
      <c r="A791" s="57"/>
      <c r="B791" s="58"/>
    </row>
    <row r="792" ht="12.75" customHeight="1">
      <c r="A792" s="57"/>
      <c r="B792" s="58"/>
    </row>
    <row r="793" ht="12.75" customHeight="1">
      <c r="A793" s="57"/>
      <c r="B793" s="58"/>
    </row>
    <row r="794" ht="12.75" customHeight="1">
      <c r="A794" s="57"/>
      <c r="B794" s="58"/>
    </row>
    <row r="795" ht="12.75" customHeight="1">
      <c r="A795" s="57"/>
      <c r="B795" s="58"/>
    </row>
    <row r="796" ht="12.75" customHeight="1">
      <c r="A796" s="57"/>
      <c r="B796" s="58"/>
    </row>
    <row r="797" ht="12.75" customHeight="1">
      <c r="A797" s="57"/>
      <c r="B797" s="58"/>
    </row>
    <row r="798" ht="12.75" customHeight="1">
      <c r="A798" s="57"/>
      <c r="B798" s="58"/>
    </row>
    <row r="799" ht="12.75" customHeight="1">
      <c r="A799" s="57"/>
      <c r="B799" s="58"/>
    </row>
    <row r="800" ht="12.75" customHeight="1">
      <c r="A800" s="57"/>
      <c r="B800" s="58"/>
    </row>
    <row r="801" ht="12.75" customHeight="1">
      <c r="A801" s="57"/>
      <c r="B801" s="58"/>
    </row>
    <row r="802" ht="12.75" customHeight="1">
      <c r="A802" s="57"/>
      <c r="B802" s="58"/>
    </row>
    <row r="803" ht="12.75" customHeight="1">
      <c r="A803" s="57"/>
      <c r="B803" s="58"/>
    </row>
    <row r="804" ht="12.75" customHeight="1">
      <c r="A804" s="57"/>
      <c r="B804" s="58"/>
    </row>
    <row r="805" ht="12.75" customHeight="1">
      <c r="A805" s="57"/>
      <c r="B805" s="58"/>
    </row>
    <row r="806" ht="12.75" customHeight="1">
      <c r="A806" s="57"/>
      <c r="B806" s="58"/>
    </row>
    <row r="807" ht="12.75" customHeight="1">
      <c r="A807" s="57"/>
      <c r="B807" s="58"/>
    </row>
    <row r="808" ht="12.75" customHeight="1">
      <c r="A808" s="57"/>
      <c r="B808" s="58"/>
    </row>
    <row r="809" ht="12.75" customHeight="1">
      <c r="A809" s="57"/>
      <c r="B809" s="58"/>
    </row>
    <row r="810" ht="12.75" customHeight="1">
      <c r="A810" s="57"/>
      <c r="B810" s="58"/>
    </row>
    <row r="811" ht="12.75" customHeight="1">
      <c r="A811" s="57"/>
      <c r="B811" s="58"/>
    </row>
    <row r="812" ht="12.75" customHeight="1">
      <c r="A812" s="57"/>
      <c r="B812" s="58"/>
    </row>
    <row r="813" ht="12.75" customHeight="1">
      <c r="A813" s="57"/>
      <c r="B813" s="58"/>
    </row>
    <row r="814" ht="12.75" customHeight="1">
      <c r="A814" s="57"/>
      <c r="B814" s="58"/>
    </row>
    <row r="815" ht="12.75" customHeight="1">
      <c r="A815" s="57"/>
      <c r="B815" s="58"/>
    </row>
    <row r="816" ht="12.75" customHeight="1">
      <c r="A816" s="57"/>
      <c r="B816" s="58"/>
    </row>
    <row r="817" ht="12.75" customHeight="1">
      <c r="A817" s="57"/>
      <c r="B817" s="58"/>
    </row>
    <row r="818" ht="12.75" customHeight="1">
      <c r="A818" s="57"/>
      <c r="B818" s="58"/>
    </row>
    <row r="819" ht="12.75" customHeight="1">
      <c r="A819" s="57"/>
      <c r="B819" s="58"/>
    </row>
    <row r="820" ht="12.75" customHeight="1">
      <c r="A820" s="57"/>
      <c r="B820" s="58"/>
    </row>
    <row r="821" ht="12.75" customHeight="1">
      <c r="A821" s="57"/>
      <c r="B821" s="58"/>
    </row>
    <row r="822" ht="12.75" customHeight="1">
      <c r="A822" s="57"/>
      <c r="B822" s="58"/>
    </row>
    <row r="823" ht="12.75" customHeight="1">
      <c r="A823" s="57"/>
      <c r="B823" s="58"/>
    </row>
    <row r="824" ht="12.75" customHeight="1">
      <c r="A824" s="57"/>
      <c r="B824" s="58"/>
    </row>
    <row r="825" ht="12.75" customHeight="1">
      <c r="A825" s="57"/>
      <c r="B825" s="58"/>
    </row>
    <row r="826" ht="12.75" customHeight="1">
      <c r="A826" s="57"/>
      <c r="B826" s="58"/>
    </row>
    <row r="827" ht="12.75" customHeight="1">
      <c r="A827" s="57"/>
      <c r="B827" s="58"/>
    </row>
    <row r="828" ht="12.75" customHeight="1">
      <c r="A828" s="57"/>
      <c r="B828" s="58"/>
    </row>
    <row r="829" ht="12.75" customHeight="1">
      <c r="A829" s="57"/>
      <c r="B829" s="58"/>
    </row>
    <row r="830" ht="12.75" customHeight="1">
      <c r="A830" s="57"/>
      <c r="B830" s="58"/>
    </row>
    <row r="831" ht="12.75" customHeight="1">
      <c r="A831" s="57"/>
      <c r="B831" s="58"/>
    </row>
    <row r="832" ht="12.75" customHeight="1">
      <c r="A832" s="57"/>
      <c r="B832" s="58"/>
    </row>
    <row r="833" ht="12.75" customHeight="1">
      <c r="A833" s="57"/>
      <c r="B833" s="58"/>
    </row>
    <row r="834" ht="12.75" customHeight="1">
      <c r="A834" s="57"/>
      <c r="B834" s="58"/>
    </row>
    <row r="835" ht="12.75" customHeight="1">
      <c r="A835" s="57"/>
      <c r="B835" s="58"/>
    </row>
    <row r="836" ht="12.75" customHeight="1">
      <c r="A836" s="57"/>
      <c r="B836" s="58"/>
    </row>
    <row r="837" ht="12.75" customHeight="1">
      <c r="A837" s="57"/>
      <c r="B837" s="58"/>
    </row>
    <row r="838" ht="12.75" customHeight="1">
      <c r="A838" s="57"/>
      <c r="B838" s="58"/>
    </row>
    <row r="839" ht="12.75" customHeight="1">
      <c r="A839" s="57"/>
      <c r="B839" s="58"/>
    </row>
    <row r="840" ht="12.75" customHeight="1">
      <c r="A840" s="57"/>
      <c r="B840" s="58"/>
    </row>
    <row r="841" ht="12.75" customHeight="1">
      <c r="A841" s="57"/>
      <c r="B841" s="58"/>
    </row>
    <row r="842" ht="12.75" customHeight="1">
      <c r="A842" s="57"/>
      <c r="B842" s="58"/>
    </row>
    <row r="843" ht="12.75" customHeight="1">
      <c r="A843" s="57"/>
      <c r="B843" s="58"/>
    </row>
    <row r="844" ht="12.75" customHeight="1">
      <c r="A844" s="57"/>
      <c r="B844" s="58"/>
    </row>
    <row r="845" ht="12.75" customHeight="1">
      <c r="A845" s="57"/>
      <c r="B845" s="58"/>
    </row>
    <row r="846" ht="12.75" customHeight="1">
      <c r="A846" s="57"/>
      <c r="B846" s="58"/>
    </row>
    <row r="847" ht="12.75" customHeight="1">
      <c r="A847" s="57"/>
      <c r="B847" s="58"/>
    </row>
    <row r="848" ht="12.75" customHeight="1">
      <c r="A848" s="57"/>
      <c r="B848" s="58"/>
    </row>
    <row r="849" ht="12.75" customHeight="1">
      <c r="A849" s="57"/>
      <c r="B849" s="58"/>
    </row>
    <row r="850" ht="12.75" customHeight="1">
      <c r="A850" s="57"/>
      <c r="B850" s="58"/>
    </row>
    <row r="851" ht="12.75" customHeight="1">
      <c r="A851" s="57"/>
      <c r="B851" s="58"/>
    </row>
    <row r="852" ht="12.75" customHeight="1">
      <c r="A852" s="57"/>
      <c r="B852" s="58"/>
    </row>
    <row r="853" ht="12.75" customHeight="1">
      <c r="A853" s="57"/>
      <c r="B853" s="58"/>
    </row>
    <row r="854" ht="12.75" customHeight="1">
      <c r="A854" s="57"/>
      <c r="B854" s="58"/>
    </row>
    <row r="855" ht="12.75" customHeight="1">
      <c r="A855" s="57"/>
      <c r="B855" s="58"/>
    </row>
    <row r="856" ht="12.75" customHeight="1">
      <c r="A856" s="57"/>
      <c r="B856" s="58"/>
    </row>
    <row r="857" ht="12.75" customHeight="1">
      <c r="A857" s="57"/>
      <c r="B857" s="58"/>
    </row>
    <row r="858" ht="12.75" customHeight="1">
      <c r="A858" s="57"/>
      <c r="B858" s="58"/>
    </row>
    <row r="859" ht="12.75" customHeight="1">
      <c r="A859" s="57"/>
      <c r="B859" s="58"/>
    </row>
    <row r="860" ht="12.75" customHeight="1">
      <c r="A860" s="57"/>
      <c r="B860" s="58"/>
    </row>
    <row r="861" ht="12.75" customHeight="1">
      <c r="A861" s="57"/>
      <c r="B861" s="58"/>
    </row>
    <row r="862" ht="12.75" customHeight="1">
      <c r="A862" s="57"/>
      <c r="B862" s="58"/>
    </row>
    <row r="863" ht="12.75" customHeight="1">
      <c r="A863" s="57"/>
      <c r="B863" s="58"/>
    </row>
    <row r="864" ht="12.75" customHeight="1">
      <c r="A864" s="57"/>
      <c r="B864" s="58"/>
    </row>
    <row r="865" ht="12.75" customHeight="1">
      <c r="A865" s="57"/>
      <c r="B865" s="58"/>
    </row>
    <row r="866" ht="12.75" customHeight="1">
      <c r="A866" s="57"/>
      <c r="B866" s="58"/>
    </row>
    <row r="867" ht="12.75" customHeight="1">
      <c r="A867" s="57"/>
      <c r="B867" s="58"/>
    </row>
    <row r="868" ht="12.75" customHeight="1">
      <c r="A868" s="57"/>
      <c r="B868" s="58"/>
    </row>
    <row r="869" ht="12.75" customHeight="1">
      <c r="A869" s="57"/>
      <c r="B869" s="58"/>
    </row>
    <row r="870" ht="12.75" customHeight="1">
      <c r="A870" s="57"/>
      <c r="B870" s="58"/>
    </row>
    <row r="871" ht="12.75" customHeight="1">
      <c r="A871" s="57"/>
      <c r="B871" s="58"/>
    </row>
    <row r="872" ht="12.75" customHeight="1">
      <c r="A872" s="57"/>
      <c r="B872" s="58"/>
    </row>
    <row r="873" ht="12.75" customHeight="1">
      <c r="A873" s="57"/>
      <c r="B873" s="58"/>
    </row>
    <row r="874" ht="12.75" customHeight="1">
      <c r="A874" s="57"/>
      <c r="B874" s="58"/>
    </row>
    <row r="875" ht="12.75" customHeight="1">
      <c r="A875" s="57"/>
      <c r="B875" s="58"/>
    </row>
    <row r="876" ht="12.75" customHeight="1">
      <c r="A876" s="57"/>
      <c r="B876" s="58"/>
    </row>
    <row r="877" ht="12.75" customHeight="1">
      <c r="A877" s="57"/>
      <c r="B877" s="58"/>
    </row>
    <row r="878" ht="12.75" customHeight="1">
      <c r="A878" s="57"/>
      <c r="B878" s="58"/>
    </row>
    <row r="879" ht="12.75" customHeight="1">
      <c r="A879" s="57"/>
      <c r="B879" s="58"/>
    </row>
    <row r="880" ht="12.75" customHeight="1">
      <c r="A880" s="57"/>
      <c r="B880" s="58"/>
    </row>
    <row r="881" ht="12.75" customHeight="1">
      <c r="A881" s="57"/>
      <c r="B881" s="58"/>
    </row>
    <row r="882" ht="12.75" customHeight="1">
      <c r="A882" s="57"/>
      <c r="B882" s="58"/>
    </row>
    <row r="883" ht="12.75" customHeight="1">
      <c r="A883" s="57"/>
      <c r="B883" s="58"/>
    </row>
    <row r="884" ht="12.75" customHeight="1">
      <c r="A884" s="57"/>
      <c r="B884" s="58"/>
    </row>
    <row r="885" ht="12.75" customHeight="1">
      <c r="A885" s="57"/>
      <c r="B885" s="58"/>
    </row>
    <row r="886" ht="12.75" customHeight="1">
      <c r="A886" s="57"/>
      <c r="B886" s="58"/>
    </row>
    <row r="887" ht="12.75" customHeight="1">
      <c r="A887" s="57"/>
      <c r="B887" s="58"/>
    </row>
    <row r="888" ht="12.75" customHeight="1">
      <c r="A888" s="57"/>
      <c r="B888" s="58"/>
    </row>
    <row r="889" ht="12.75" customHeight="1">
      <c r="A889" s="57"/>
      <c r="B889" s="58"/>
    </row>
    <row r="890" ht="12.75" customHeight="1">
      <c r="A890" s="57"/>
      <c r="B890" s="58"/>
    </row>
    <row r="891" ht="12.75" customHeight="1">
      <c r="A891" s="57"/>
      <c r="B891" s="58"/>
    </row>
    <row r="892" ht="12.75" customHeight="1">
      <c r="A892" s="57"/>
      <c r="B892" s="58"/>
    </row>
    <row r="893" ht="12.75" customHeight="1">
      <c r="A893" s="57"/>
      <c r="B893" s="58"/>
    </row>
    <row r="894" ht="12.75" customHeight="1">
      <c r="A894" s="57"/>
      <c r="B894" s="58"/>
    </row>
    <row r="895" ht="12.75" customHeight="1">
      <c r="A895" s="57"/>
      <c r="B895" s="58"/>
    </row>
    <row r="896" ht="12.75" customHeight="1">
      <c r="A896" s="57"/>
      <c r="B896" s="58"/>
    </row>
    <row r="897" ht="12.75" customHeight="1">
      <c r="A897" s="57"/>
      <c r="B897" s="58"/>
    </row>
    <row r="898" ht="12.75" customHeight="1">
      <c r="A898" s="57"/>
      <c r="B898" s="58"/>
    </row>
    <row r="899" ht="12.75" customHeight="1">
      <c r="A899" s="57"/>
      <c r="B899" s="58"/>
    </row>
    <row r="900" ht="12.75" customHeight="1">
      <c r="A900" s="57"/>
      <c r="B900" s="58"/>
    </row>
    <row r="901" ht="12.75" customHeight="1">
      <c r="A901" s="57"/>
      <c r="B901" s="58"/>
    </row>
    <row r="902" ht="12.75" customHeight="1">
      <c r="A902" s="57"/>
      <c r="B902" s="58"/>
    </row>
    <row r="903" ht="12.75" customHeight="1">
      <c r="A903" s="57"/>
      <c r="B903" s="58"/>
    </row>
    <row r="904" ht="12.75" customHeight="1">
      <c r="A904" s="57"/>
      <c r="B904" s="58"/>
    </row>
    <row r="905" ht="12.75" customHeight="1">
      <c r="A905" s="57"/>
      <c r="B905" s="58"/>
    </row>
    <row r="906" ht="12.75" customHeight="1">
      <c r="A906" s="57"/>
      <c r="B906" s="58"/>
    </row>
    <row r="907" ht="12.75" customHeight="1">
      <c r="A907" s="57"/>
      <c r="B907" s="58"/>
    </row>
    <row r="908" ht="12.75" customHeight="1">
      <c r="A908" s="57"/>
      <c r="B908" s="58"/>
    </row>
    <row r="909" ht="12.75" customHeight="1">
      <c r="A909" s="57"/>
      <c r="B909" s="58"/>
    </row>
    <row r="910" ht="12.75" customHeight="1">
      <c r="A910" s="57"/>
      <c r="B910" s="58"/>
    </row>
    <row r="911" ht="12.75" customHeight="1">
      <c r="A911" s="57"/>
      <c r="B911" s="58"/>
    </row>
    <row r="912" ht="12.75" customHeight="1">
      <c r="A912" s="57"/>
      <c r="B912" s="58"/>
    </row>
    <row r="913" ht="12.75" customHeight="1">
      <c r="A913" s="57"/>
      <c r="B913" s="58"/>
    </row>
    <row r="914" ht="12.75" customHeight="1">
      <c r="A914" s="57"/>
      <c r="B914" s="58"/>
    </row>
    <row r="915" ht="12.75" customHeight="1">
      <c r="A915" s="57"/>
      <c r="B915" s="58"/>
    </row>
    <row r="916" ht="12.75" customHeight="1">
      <c r="A916" s="57"/>
      <c r="B916" s="58"/>
    </row>
    <row r="917" ht="12.75" customHeight="1">
      <c r="A917" s="57"/>
      <c r="B917" s="58"/>
    </row>
    <row r="918" ht="12.75" customHeight="1">
      <c r="A918" s="57"/>
      <c r="B918" s="58"/>
    </row>
    <row r="919" ht="12.75" customHeight="1">
      <c r="A919" s="57"/>
      <c r="B919" s="58"/>
    </row>
    <row r="920" ht="12.75" customHeight="1">
      <c r="A920" s="57"/>
      <c r="B920" s="58"/>
    </row>
    <row r="921" ht="12.75" customHeight="1">
      <c r="A921" s="57"/>
      <c r="B921" s="58"/>
    </row>
    <row r="922" ht="12.75" customHeight="1">
      <c r="A922" s="57"/>
      <c r="B922" s="58"/>
    </row>
    <row r="923" ht="12.75" customHeight="1">
      <c r="A923" s="57"/>
      <c r="B923" s="58"/>
    </row>
    <row r="924" ht="12.75" customHeight="1">
      <c r="A924" s="57"/>
      <c r="B924" s="58"/>
    </row>
    <row r="925" ht="12.75" customHeight="1">
      <c r="A925" s="57"/>
      <c r="B925" s="58"/>
    </row>
    <row r="926" ht="12.75" customHeight="1">
      <c r="A926" s="57"/>
      <c r="B926" s="58"/>
    </row>
    <row r="927" ht="12.75" customHeight="1">
      <c r="A927" s="57"/>
      <c r="B927" s="58"/>
    </row>
    <row r="928" ht="12.75" customHeight="1">
      <c r="A928" s="57"/>
      <c r="B928" s="58"/>
    </row>
    <row r="929" ht="12.75" customHeight="1">
      <c r="A929" s="57"/>
      <c r="B929" s="58"/>
    </row>
    <row r="930" ht="12.75" customHeight="1">
      <c r="A930" s="57"/>
      <c r="B930" s="58"/>
    </row>
    <row r="931" ht="12.75" customHeight="1">
      <c r="A931" s="57"/>
      <c r="B931" s="58"/>
    </row>
    <row r="932" ht="12.75" customHeight="1">
      <c r="A932" s="57"/>
      <c r="B932" s="58"/>
    </row>
    <row r="933" ht="12.75" customHeight="1">
      <c r="A933" s="57"/>
      <c r="B933" s="58"/>
    </row>
    <row r="934" ht="12.75" customHeight="1">
      <c r="A934" s="57"/>
      <c r="B934" s="58"/>
    </row>
    <row r="935" ht="12.75" customHeight="1">
      <c r="A935" s="57"/>
      <c r="B935" s="58"/>
    </row>
    <row r="936" ht="12.75" customHeight="1">
      <c r="A936" s="57"/>
      <c r="B936" s="58"/>
    </row>
    <row r="937" ht="12.75" customHeight="1">
      <c r="A937" s="57"/>
      <c r="B937" s="58"/>
    </row>
    <row r="938" ht="12.75" customHeight="1">
      <c r="A938" s="57"/>
      <c r="B938" s="58"/>
    </row>
    <row r="939" ht="12.75" customHeight="1">
      <c r="A939" s="57"/>
      <c r="B939" s="58"/>
    </row>
    <row r="940" ht="12.75" customHeight="1">
      <c r="A940" s="57"/>
      <c r="B940" s="58"/>
    </row>
    <row r="941" ht="12.75" customHeight="1">
      <c r="A941" s="57"/>
      <c r="B941" s="58"/>
    </row>
    <row r="942" ht="12.75" customHeight="1">
      <c r="A942" s="57"/>
      <c r="B942" s="58"/>
    </row>
    <row r="943" ht="12.75" customHeight="1">
      <c r="A943" s="57"/>
      <c r="B943" s="58"/>
    </row>
    <row r="944" ht="12.75" customHeight="1">
      <c r="A944" s="57"/>
      <c r="B944" s="58"/>
    </row>
    <row r="945" ht="12.75" customHeight="1">
      <c r="A945" s="57"/>
      <c r="B945" s="58"/>
    </row>
    <row r="946" ht="12.75" customHeight="1">
      <c r="A946" s="57"/>
      <c r="B946" s="58"/>
    </row>
    <row r="947" ht="12.75" customHeight="1">
      <c r="A947" s="57"/>
      <c r="B947" s="58"/>
    </row>
    <row r="948" ht="12.75" customHeight="1">
      <c r="A948" s="57"/>
      <c r="B948" s="58"/>
    </row>
    <row r="949" ht="12.75" customHeight="1">
      <c r="A949" s="57"/>
      <c r="B949" s="58"/>
    </row>
    <row r="950" ht="12.75" customHeight="1">
      <c r="A950" s="57"/>
      <c r="B950" s="58"/>
    </row>
    <row r="951" ht="12.75" customHeight="1">
      <c r="A951" s="57"/>
      <c r="B951" s="58"/>
    </row>
    <row r="952" ht="12.75" customHeight="1">
      <c r="A952" s="57"/>
      <c r="B952" s="58"/>
    </row>
    <row r="953" ht="12.75" customHeight="1">
      <c r="A953" s="57"/>
      <c r="B953" s="58"/>
    </row>
    <row r="954" ht="12.75" customHeight="1">
      <c r="A954" s="57"/>
      <c r="B954" s="58"/>
    </row>
    <row r="955" ht="12.75" customHeight="1">
      <c r="A955" s="57"/>
      <c r="B955" s="58"/>
    </row>
    <row r="956" ht="12.75" customHeight="1">
      <c r="A956" s="57"/>
      <c r="B956" s="58"/>
    </row>
    <row r="957" ht="12.75" customHeight="1">
      <c r="A957" s="57"/>
      <c r="B957" s="58"/>
    </row>
    <row r="958" ht="12.75" customHeight="1">
      <c r="A958" s="57"/>
      <c r="B958" s="58"/>
    </row>
    <row r="959" ht="12.75" customHeight="1">
      <c r="A959" s="57"/>
      <c r="B959" s="58"/>
    </row>
    <row r="960" ht="12.75" customHeight="1">
      <c r="A960" s="57"/>
      <c r="B960" s="58"/>
    </row>
    <row r="961" ht="12.75" customHeight="1">
      <c r="A961" s="57"/>
      <c r="B961" s="58"/>
    </row>
    <row r="962" ht="12.75" customHeight="1">
      <c r="A962" s="57"/>
      <c r="B962" s="58"/>
    </row>
    <row r="963" ht="12.75" customHeight="1">
      <c r="A963" s="57"/>
      <c r="B963" s="58"/>
    </row>
    <row r="964" ht="12.75" customHeight="1">
      <c r="A964" s="57"/>
      <c r="B964" s="58"/>
    </row>
    <row r="965" ht="12.75" customHeight="1">
      <c r="A965" s="57"/>
      <c r="B965" s="58"/>
    </row>
    <row r="966" ht="12.75" customHeight="1">
      <c r="A966" s="57"/>
      <c r="B966" s="58"/>
    </row>
    <row r="967" ht="12.75" customHeight="1">
      <c r="A967" s="57"/>
      <c r="B967" s="58"/>
    </row>
    <row r="968" ht="12.75" customHeight="1">
      <c r="A968" s="57"/>
      <c r="B968" s="58"/>
    </row>
    <row r="969" ht="12.75" customHeight="1">
      <c r="A969" s="57"/>
      <c r="B969" s="58"/>
    </row>
    <row r="970" ht="12.75" customHeight="1">
      <c r="A970" s="57"/>
      <c r="B970" s="58"/>
    </row>
    <row r="971" ht="12.75" customHeight="1">
      <c r="A971" s="57"/>
      <c r="B971" s="58"/>
    </row>
    <row r="972" ht="12.75" customHeight="1">
      <c r="A972" s="57"/>
      <c r="B972" s="58"/>
    </row>
    <row r="973" ht="12.75" customHeight="1">
      <c r="A973" s="57"/>
      <c r="B973" s="58"/>
    </row>
    <row r="974" ht="12.75" customHeight="1">
      <c r="A974" s="57"/>
      <c r="B974" s="58"/>
    </row>
    <row r="975" ht="12.75" customHeight="1">
      <c r="A975" s="57"/>
      <c r="B975" s="58"/>
    </row>
    <row r="976" ht="12.75" customHeight="1">
      <c r="A976" s="57"/>
      <c r="B976" s="58"/>
    </row>
    <row r="977" ht="12.75" customHeight="1">
      <c r="A977" s="57"/>
      <c r="B977" s="58"/>
    </row>
    <row r="978" ht="12.75" customHeight="1">
      <c r="A978" s="57"/>
      <c r="B978" s="58"/>
    </row>
    <row r="979" ht="12.75" customHeight="1">
      <c r="A979" s="57"/>
      <c r="B979" s="58"/>
    </row>
    <row r="980" ht="12.75" customHeight="1">
      <c r="A980" s="57"/>
      <c r="B980" s="58"/>
    </row>
    <row r="981" ht="12.75" customHeight="1">
      <c r="A981" s="57"/>
      <c r="B981" s="58"/>
    </row>
    <row r="982" ht="12.75" customHeight="1">
      <c r="A982" s="57"/>
      <c r="B982" s="58"/>
    </row>
    <row r="983" ht="12.75" customHeight="1">
      <c r="A983" s="57"/>
      <c r="B983" s="58"/>
    </row>
    <row r="984" ht="12.75" customHeight="1">
      <c r="A984" s="57"/>
      <c r="B984" s="58"/>
    </row>
    <row r="985" ht="12.75" customHeight="1">
      <c r="A985" s="57"/>
      <c r="B985" s="58"/>
    </row>
    <row r="986" ht="12.75" customHeight="1">
      <c r="A986" s="57"/>
      <c r="B986" s="58"/>
    </row>
    <row r="987" ht="12.75" customHeight="1">
      <c r="A987" s="57"/>
      <c r="B987" s="58"/>
    </row>
    <row r="988" ht="12.75" customHeight="1">
      <c r="A988" s="57"/>
      <c r="B988" s="58"/>
    </row>
    <row r="989" ht="12.75" customHeight="1">
      <c r="A989" s="57"/>
      <c r="B989" s="58"/>
    </row>
    <row r="990" ht="12.75" customHeight="1">
      <c r="A990" s="57"/>
      <c r="B990" s="58"/>
    </row>
    <row r="991" ht="12.75" customHeight="1">
      <c r="A991" s="57"/>
      <c r="B991" s="58"/>
    </row>
    <row r="992" ht="12.75" customHeight="1">
      <c r="A992" s="57"/>
      <c r="B992" s="58"/>
    </row>
    <row r="993" ht="12.75" customHeight="1">
      <c r="A993" s="57"/>
      <c r="B993" s="58"/>
    </row>
    <row r="994" ht="12.75" customHeight="1">
      <c r="A994" s="57"/>
      <c r="B994" s="58"/>
    </row>
    <row r="995" ht="12.75" customHeight="1">
      <c r="A995" s="57"/>
      <c r="B995" s="58"/>
    </row>
    <row r="996" ht="12.75" customHeight="1">
      <c r="A996" s="57"/>
      <c r="B996" s="58"/>
    </row>
    <row r="997" ht="12.75" customHeight="1">
      <c r="A997" s="57"/>
      <c r="B997" s="58"/>
    </row>
    <row r="998" ht="12.75" customHeight="1">
      <c r="A998" s="57"/>
      <c r="B998" s="58"/>
    </row>
    <row r="999" ht="12.75" customHeight="1">
      <c r="A999" s="57"/>
      <c r="B999" s="58"/>
    </row>
    <row r="1000" ht="12.75" customHeight="1">
      <c r="A1000" s="57"/>
      <c r="B1000" s="58"/>
    </row>
  </sheetData>
  <mergeCells count="71">
    <mergeCell ref="O23:O26"/>
    <mergeCell ref="P27:P30"/>
    <mergeCell ref="Q27:Q30"/>
    <mergeCell ref="R27:R30"/>
    <mergeCell ref="S27:S30"/>
    <mergeCell ref="T27:T30"/>
    <mergeCell ref="U27:U30"/>
    <mergeCell ref="O39:O41"/>
    <mergeCell ref="P39:P41"/>
    <mergeCell ref="Q39:Q41"/>
    <mergeCell ref="R39:R41"/>
    <mergeCell ref="S39:S41"/>
    <mergeCell ref="T39:T41"/>
    <mergeCell ref="U39:U41"/>
    <mergeCell ref="O27:O30"/>
    <mergeCell ref="P31:P34"/>
    <mergeCell ref="Q31:Q34"/>
    <mergeCell ref="R31:R34"/>
    <mergeCell ref="S31:S34"/>
    <mergeCell ref="T31:T34"/>
    <mergeCell ref="U31:U34"/>
    <mergeCell ref="A1:U1"/>
    <mergeCell ref="P3:P6"/>
    <mergeCell ref="Q3:Q6"/>
    <mergeCell ref="R3:R6"/>
    <mergeCell ref="S3:S6"/>
    <mergeCell ref="T3:T6"/>
    <mergeCell ref="U3:U6"/>
    <mergeCell ref="O3:O6"/>
    <mergeCell ref="P7:P10"/>
    <mergeCell ref="Q7:Q10"/>
    <mergeCell ref="R7:R10"/>
    <mergeCell ref="S7:S10"/>
    <mergeCell ref="T7:T10"/>
    <mergeCell ref="U7:U10"/>
    <mergeCell ref="O7:O10"/>
    <mergeCell ref="P11:P14"/>
    <mergeCell ref="Q11:Q14"/>
    <mergeCell ref="R11:R14"/>
    <mergeCell ref="S11:S14"/>
    <mergeCell ref="T11:T14"/>
    <mergeCell ref="U11:U14"/>
    <mergeCell ref="O11:O14"/>
    <mergeCell ref="P15:P18"/>
    <mergeCell ref="Q15:Q18"/>
    <mergeCell ref="R15:R18"/>
    <mergeCell ref="S15:S18"/>
    <mergeCell ref="T15:T18"/>
    <mergeCell ref="U15:U18"/>
    <mergeCell ref="O15:O18"/>
    <mergeCell ref="P19:P22"/>
    <mergeCell ref="Q19:Q22"/>
    <mergeCell ref="R19:R22"/>
    <mergeCell ref="S19:S22"/>
    <mergeCell ref="T19:T22"/>
    <mergeCell ref="U19:U22"/>
    <mergeCell ref="O19:O22"/>
    <mergeCell ref="P23:P26"/>
    <mergeCell ref="Q23:Q26"/>
    <mergeCell ref="R23:R26"/>
    <mergeCell ref="S23:S26"/>
    <mergeCell ref="T23:T26"/>
    <mergeCell ref="U23:U26"/>
    <mergeCell ref="O31:O34"/>
    <mergeCell ref="O35:O38"/>
    <mergeCell ref="P35:P38"/>
    <mergeCell ref="Q35:Q38"/>
    <mergeCell ref="R35:R38"/>
    <mergeCell ref="S35:S38"/>
    <mergeCell ref="T35:T38"/>
    <mergeCell ref="U35:U3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9.88"/>
    <col customWidth="1" min="3" max="3" width="12.25"/>
    <col customWidth="1" min="4" max="4" width="9.25"/>
    <col customWidth="1" min="5" max="6" width="14.38"/>
    <col customWidth="1" min="7" max="7" width="9.25"/>
    <col customWidth="1" min="8" max="26" width="8.63"/>
  </cols>
  <sheetData>
    <row r="1" ht="12.75" customHeight="1">
      <c r="A1" s="59" t="s">
        <v>92</v>
      </c>
      <c r="B1" s="60" t="s">
        <v>93</v>
      </c>
      <c r="C1" s="60" t="s">
        <v>94</v>
      </c>
      <c r="D1" s="61">
        <v>3.0</v>
      </c>
      <c r="E1" s="60" t="s">
        <v>95</v>
      </c>
      <c r="F1" s="60" t="s">
        <v>19</v>
      </c>
      <c r="G1" s="60" t="s">
        <v>96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2.75" customHeight="1">
      <c r="A2" s="63">
        <v>2023.0</v>
      </c>
      <c r="B2" s="64">
        <v>2.2374E7</v>
      </c>
      <c r="C2" s="64">
        <v>7.751227E9</v>
      </c>
      <c r="D2" s="65">
        <v>0.0029</v>
      </c>
      <c r="E2" s="66">
        <v>2.02828716E11</v>
      </c>
      <c r="F2" s="66">
        <v>2.54469595E11</v>
      </c>
      <c r="G2" s="67">
        <v>0.7971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2.75" customHeight="1">
      <c r="A3" s="63">
        <v>2022.0</v>
      </c>
      <c r="B3" s="68">
        <v>6.1163E7</v>
      </c>
      <c r="C3" s="66">
        <v>2.491828E9</v>
      </c>
      <c r="D3" s="65">
        <v>0.0245</v>
      </c>
      <c r="E3" s="66">
        <v>1.64814153E11</v>
      </c>
      <c r="F3" s="66">
        <v>2.45111928E11</v>
      </c>
      <c r="G3" s="67">
        <v>0.6724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2.75" customHeight="1">
      <c r="A4" s="63">
        <v>2021.0</v>
      </c>
      <c r="B4" s="68">
        <v>2.8041E7</v>
      </c>
      <c r="C4" s="66">
        <v>2.530699E9</v>
      </c>
      <c r="D4" s="65">
        <v>0.0111</v>
      </c>
      <c r="E4" s="66">
        <v>1.14496015E11</v>
      </c>
      <c r="F4" s="66">
        <v>5.6614554E10</v>
      </c>
      <c r="G4" s="67">
        <v>2.0224</v>
      </c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2.75" customHeight="1">
      <c r="A5" s="63">
        <v>2020.0</v>
      </c>
      <c r="B5" s="68">
        <v>9213000.0</v>
      </c>
      <c r="C5" s="66">
        <v>2.480478E9</v>
      </c>
      <c r="D5" s="65">
        <v>0.0037</v>
      </c>
      <c r="E5" s="66">
        <v>9.9208081E10</v>
      </c>
      <c r="F5" s="66">
        <v>4.7033148E10</v>
      </c>
      <c r="G5" s="67">
        <v>2.1093</v>
      </c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2.75" customHeight="1">
      <c r="A6" s="63">
        <v>2019.0</v>
      </c>
      <c r="B6" s="68">
        <v>3194000.0</v>
      </c>
      <c r="C6" s="66">
        <v>1.557044E9</v>
      </c>
      <c r="D6" s="65">
        <v>0.0021</v>
      </c>
      <c r="E6" s="66">
        <v>7.6765871E10</v>
      </c>
      <c r="F6" s="66">
        <v>4.8229689E10</v>
      </c>
      <c r="G6" s="67">
        <v>1.5917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2.75" customHeight="1">
      <c r="A7" s="63">
        <v>2018.0</v>
      </c>
      <c r="B7" s="68">
        <v>4699000.0</v>
      </c>
      <c r="C7" s="67"/>
      <c r="D7" s="65"/>
      <c r="E7" s="66">
        <v>5.9087697E10</v>
      </c>
      <c r="F7" s="66">
        <v>5.1635356E10</v>
      </c>
      <c r="G7" s="67">
        <v>1.1443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2.75" customHeight="1">
      <c r="A8" s="63">
        <v>2017.0</v>
      </c>
      <c r="B8" s="68">
        <v>9777000.0</v>
      </c>
      <c r="C8" s="67"/>
      <c r="D8" s="65"/>
      <c r="E8" s="66">
        <v>5.5015661E10</v>
      </c>
      <c r="F8" s="66">
        <v>4.69917E10</v>
      </c>
      <c r="G8" s="67">
        <v>1.1708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2.75" customHeight="1">
      <c r="A9" s="63">
        <v>2016.0</v>
      </c>
      <c r="B9" s="68">
        <v>689000.0</v>
      </c>
      <c r="C9" s="67"/>
      <c r="D9" s="65"/>
      <c r="E9" s="66">
        <v>3.9992477E10</v>
      </c>
      <c r="F9" s="66">
        <v>3.5501437E10</v>
      </c>
      <c r="G9" s="67">
        <v>1.1265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2.75" customHeight="1">
      <c r="A10" s="63">
        <v>2015.0</v>
      </c>
      <c r="B10" s="68">
        <v>504000.0</v>
      </c>
      <c r="C10" s="67"/>
      <c r="D10" s="65"/>
      <c r="E10" s="66">
        <v>2.7712892E10</v>
      </c>
      <c r="F10" s="66">
        <v>3.4896368E10</v>
      </c>
      <c r="G10" s="67">
        <v>0.7941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2.75" customHeight="1">
      <c r="A11" s="63">
        <v>2014.0</v>
      </c>
      <c r="B11" s="68">
        <v>694000.0</v>
      </c>
      <c r="C11" s="67"/>
      <c r="D11" s="65"/>
      <c r="E11" s="66">
        <v>1.512487E10</v>
      </c>
      <c r="F11" s="66">
        <v>3.4129277E10</v>
      </c>
      <c r="G11" s="67">
        <v>0.4432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2.75" customHeight="1"/>
    <row r="13" ht="12.75" customHeight="1"/>
    <row r="14" ht="12.75" customHeight="1"/>
    <row r="15" ht="12.75" customHeight="1"/>
    <row r="16" ht="12.75" customHeight="1">
      <c r="C16" s="69">
        <f>VLOOKUP(A3,A1:G11,D1,0)</f>
        <v>2491828000</v>
      </c>
      <c r="E16" s="70" t="str">
        <f>HLOOKUP(A3,A1:G11,D1,0)</f>
        <v>#N/A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2024-07-09T11:30:46Z</dcterms:created>
  <dc:creator>HP</dc:creator>
</cp:coreProperties>
</file>