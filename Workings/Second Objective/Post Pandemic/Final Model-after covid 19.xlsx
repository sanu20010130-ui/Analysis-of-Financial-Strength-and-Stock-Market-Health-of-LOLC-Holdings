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fter covid Data set" sheetId="1" r:id="rId4"/>
    <sheet state="visible" name="After Covid Model" sheetId="2" r:id="rId5"/>
  </sheets>
  <definedNames/>
  <calcPr/>
  <extLst>
    <ext uri="GoogleSheetsCustomDataVersion2">
      <go:sheetsCustomData xmlns:go="http://customooxmlschemas.google.com/" r:id="rId6" roundtripDataChecksum="7SiHkxxNekF5WZKoBP+ftiwh4jIUdi1k/g6Rxv3/bl8="/>
    </ext>
  </extLst>
</workbook>
</file>

<file path=xl/sharedStrings.xml><?xml version="1.0" encoding="utf-8"?>
<sst xmlns="http://schemas.openxmlformats.org/spreadsheetml/2006/main" count="30" uniqueCount="25">
  <si>
    <t>Quarters</t>
  </si>
  <si>
    <t>Total Assets</t>
  </si>
  <si>
    <t>Total Liabilities</t>
  </si>
  <si>
    <t>Total Equity</t>
  </si>
  <si>
    <t>Net Income</t>
  </si>
  <si>
    <t>Grossprofit</t>
  </si>
  <si>
    <t>Revenue</t>
  </si>
  <si>
    <t>Current Ratio</t>
  </si>
  <si>
    <t>Debt to equity Ratio</t>
  </si>
  <si>
    <t>Gross profit Margin</t>
  </si>
  <si>
    <t>Net Profit Margin</t>
  </si>
  <si>
    <t>Assets Turn Over Ratio</t>
  </si>
  <si>
    <t>Earnings Per share</t>
  </si>
  <si>
    <t>GDP</t>
  </si>
  <si>
    <t>Inflation</t>
  </si>
  <si>
    <t>Stock price</t>
  </si>
  <si>
    <t>Revenue_squre</t>
  </si>
  <si>
    <t>Interest Rates</t>
  </si>
  <si>
    <t>Market Capital</t>
  </si>
  <si>
    <t>Price/Book value</t>
  </si>
  <si>
    <t>s</t>
  </si>
  <si>
    <t>ln(stock price)</t>
  </si>
  <si>
    <t>LN(predicted stock price)</t>
  </si>
  <si>
    <t>predicted stock price</t>
  </si>
  <si>
    <t>Residuals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</si>
</sst>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0000"/>
    <numFmt numFmtId="165" formatCode="0.00000%"/>
    <numFmt numFmtId="166" formatCode="0.0000%"/>
    <numFmt numFmtId="167" formatCode="0.00000000"/>
    <numFmt numFmtId="168" formatCode="yyyy\-mmmm"/>
  </numFmts>
  <fonts count="6">
    <font>
      <sz val="11.0"/>
      <color theme="1"/>
      <name val="Calibri"/>
      <scheme val="minor"/>
    </font>
    <font>
      <sz val="12.0"/>
      <color theme="1"/>
      <name val="Calibri"/>
    </font>
    <font>
      <sz val="10.0"/>
      <color rgb="FF000000"/>
      <name val="Calibri"/>
    </font>
    <font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1" numFmtId="164" xfId="0" applyFont="1" applyNumberFormat="1"/>
    <xf borderId="0" fillId="0" fontId="1" numFmtId="164" xfId="0" applyAlignment="1" applyFont="1" applyNumberFormat="1">
      <alignment shrinkToFit="0" wrapText="1"/>
    </xf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Alignment="1" applyFont="1" applyNumberFormat="1">
      <alignment shrinkToFit="0" wrapText="1"/>
    </xf>
    <xf borderId="0" fillId="0" fontId="1" numFmtId="167" xfId="0" applyFont="1" applyNumberFormat="1"/>
    <xf borderId="0" fillId="0" fontId="1" numFmtId="2" xfId="0" applyFont="1" applyNumberFormat="1"/>
    <xf borderId="1" fillId="0" fontId="2" numFmtId="0" xfId="0" applyAlignment="1" applyBorder="1" applyFont="1">
      <alignment shrinkToFit="0" wrapText="1"/>
    </xf>
    <xf borderId="0" fillId="0" fontId="1" numFmtId="168" xfId="0" applyAlignment="1" applyFont="1" applyNumberFormat="1">
      <alignment horizontal="left"/>
    </xf>
    <xf borderId="0" fillId="0" fontId="1" numFmtId="3" xfId="0" applyFont="1" applyNumberFormat="1"/>
    <xf borderId="0" fillId="0" fontId="3" numFmtId="3" xfId="0" applyFont="1" applyNumberFormat="1"/>
    <xf borderId="1" fillId="0" fontId="2" numFmtId="2" xfId="0" applyAlignment="1" applyBorder="1" applyFont="1" applyNumberFormat="1">
      <alignment horizontal="right" shrinkToFit="0" wrapText="1"/>
    </xf>
    <xf borderId="1" fillId="0" fontId="2" numFmtId="0" xfId="0" applyAlignment="1" applyBorder="1" applyFont="1">
      <alignment horizontal="right" shrinkToFit="0" wrapText="1"/>
    </xf>
    <xf borderId="0" fillId="0" fontId="4" numFmtId="0" xfId="0" applyFont="1"/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0" fontId="5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757575"/>
                </a:solidFill>
                <a:latin typeface="+mn-lt"/>
              </a:defRPr>
            </a:pPr>
            <a:r>
              <a:rPr b="1" i="0" sz="1200">
                <a:solidFill>
                  <a:srgbClr val="757575"/>
                </a:solidFill>
                <a:latin typeface="+mn-lt"/>
              </a:rPr>
              <a:t>Pandemic and Post Pandemic period</a:t>
            </a:r>
          </a:p>
        </c:rich>
      </c:tx>
      <c:overlay val="0"/>
    </c:title>
    <c:plotArea>
      <c:layout>
        <c:manualLayout>
          <c:xMode val="edge"/>
          <c:yMode val="edge"/>
          <c:x val="0.1952586249912677"/>
          <c:y val="0.17171296296296296"/>
          <c:w val="0.7741860024150974"/>
          <c:h val="0.38749015748031496"/>
        </c:manualLayout>
      </c:layout>
      <c:lineChart>
        <c:ser>
          <c:idx val="0"/>
          <c:order val="0"/>
          <c:tx>
            <c:v>Stock price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'After Covid Model'!$A$2:$A$21</c:f>
            </c:strRef>
          </c:cat>
          <c:val>
            <c:numRef>
              <c:f>'After Covid Model'!$E$2:$E$21</c:f>
              <c:numCache/>
            </c:numRef>
          </c:val>
          <c:smooth val="0"/>
        </c:ser>
        <c:ser>
          <c:idx val="1"/>
          <c:order val="1"/>
          <c:tx>
            <c:v>predicted stock price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'After Covid Model'!$A$2:$A$21</c:f>
            </c:strRef>
          </c:cat>
          <c:val>
            <c:numRef>
              <c:f>'After Covid Model'!$H$2:$H$21</c:f>
              <c:numCache/>
            </c:numRef>
          </c:val>
          <c:smooth val="0"/>
        </c:ser>
        <c:axId val="1474487404"/>
        <c:axId val="1849072181"/>
      </c:lineChart>
      <c:catAx>
        <c:axId val="14744874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+mn-lt"/>
              </a:defRPr>
            </a:pPr>
          </a:p>
        </c:txPr>
        <c:crossAx val="1849072181"/>
      </c:catAx>
      <c:valAx>
        <c:axId val="18490721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Stock Prices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+mn-lt"/>
              </a:defRPr>
            </a:pPr>
          </a:p>
        </c:txPr>
        <c:crossAx val="1474487404"/>
      </c:valAx>
    </c:plotArea>
    <c:legend>
      <c:legendPos val="b"/>
      <c:layout>
        <c:manualLayout>
          <c:xMode val="edge"/>
          <c:yMode val="edge"/>
          <c:x val="0.01632086863666757"/>
          <c:y val="0.9048427835264314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704850</xdr:colOff>
      <xdr:row>0</xdr:row>
      <xdr:rowOff>752475</xdr:rowOff>
    </xdr:from>
    <xdr:ext cx="4895850" cy="2095500"/>
    <xdr:graphicFrame>
      <xdr:nvGraphicFramePr>
        <xdr:cNvPr id="204271337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3" width="14.29"/>
    <col customWidth="1" min="4" max="4" width="12.43"/>
    <col customWidth="1" min="5" max="7" width="11.29"/>
    <col customWidth="1" min="8" max="9" width="10.71"/>
    <col customWidth="1" min="10" max="11" width="11.14"/>
    <col customWidth="1" min="12" max="12" width="11.86"/>
    <col customWidth="1" min="13" max="13" width="13.14"/>
    <col customWidth="1" min="14" max="14" width="13.86"/>
    <col customWidth="1" min="15" max="15" width="13.14"/>
    <col customWidth="1" min="16" max="16" width="15.43"/>
    <col customWidth="1" min="17" max="17" width="20.71"/>
    <col customWidth="1" min="18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2" t="s">
        <v>16</v>
      </c>
      <c r="R1" s="9" t="s">
        <v>17</v>
      </c>
      <c r="S1" s="10" t="s">
        <v>18</v>
      </c>
      <c r="T1" s="10" t="s">
        <v>19</v>
      </c>
    </row>
    <row r="2">
      <c r="A2" s="11">
        <v>43891.0</v>
      </c>
      <c r="B2" s="12">
        <v>1.335926194E9</v>
      </c>
      <c r="C2" s="12">
        <v>1.123352952E9</v>
      </c>
      <c r="D2" s="12">
        <v>2.12573242E8</v>
      </c>
      <c r="E2" s="12">
        <v>3559844.0</v>
      </c>
      <c r="F2" s="12">
        <v>2046983.0</v>
      </c>
      <c r="G2" s="12">
        <v>6995385.0</v>
      </c>
      <c r="H2" s="3">
        <f t="shared" ref="H2:I2" si="1">B2/C2</f>
        <v>1.189231035</v>
      </c>
      <c r="I2" s="3">
        <f t="shared" si="1"/>
        <v>5.284545418</v>
      </c>
      <c r="J2" s="5">
        <f t="shared" ref="J2:J18" si="3">F2/G2</f>
        <v>0.2926190624</v>
      </c>
      <c r="K2" s="6">
        <f t="shared" ref="K2:K18" si="4">E2/G2</f>
        <v>0.5088846432</v>
      </c>
      <c r="L2" s="8">
        <f t="shared" ref="L2:L18" si="5">G2/B2</f>
        <v>0.005236355894</v>
      </c>
      <c r="M2" s="8">
        <v>3.07</v>
      </c>
      <c r="N2" s="8">
        <v>-0.9</v>
      </c>
      <c r="O2" s="8">
        <v>7.57</v>
      </c>
      <c r="P2" s="8">
        <v>90.8</v>
      </c>
      <c r="Q2" s="13">
        <f t="shared" ref="Q2:Q18" si="6">G2^2</f>
        <v>48935411298225</v>
      </c>
      <c r="R2" s="14">
        <v>6.25</v>
      </c>
      <c r="S2" s="15">
        <v>4.3148E8</v>
      </c>
      <c r="T2" s="15">
        <v>0.5</v>
      </c>
    </row>
    <row r="3">
      <c r="A3" s="11">
        <v>43983.0</v>
      </c>
      <c r="B3" s="12">
        <v>7.55981865E8</v>
      </c>
      <c r="C3" s="12">
        <v>5.727591E8</v>
      </c>
      <c r="D3" s="12">
        <v>1.83222765E8</v>
      </c>
      <c r="E3" s="12">
        <v>3.7251868E7</v>
      </c>
      <c r="F3" s="12">
        <v>1676024.0</v>
      </c>
      <c r="G3" s="12">
        <v>5136441.0</v>
      </c>
      <c r="H3" s="3">
        <f t="shared" ref="H3:I3" si="2">B3/C3</f>
        <v>1.319894987</v>
      </c>
      <c r="I3" s="3">
        <f t="shared" si="2"/>
        <v>3.126025852</v>
      </c>
      <c r="J3" s="5">
        <f t="shared" si="3"/>
        <v>0.3263006428</v>
      </c>
      <c r="K3" s="6">
        <f t="shared" si="4"/>
        <v>7.252466835</v>
      </c>
      <c r="L3" s="8">
        <f t="shared" si="5"/>
        <v>0.006794397112</v>
      </c>
      <c r="M3" s="8">
        <v>29.31</v>
      </c>
      <c r="N3" s="8">
        <v>-17.1</v>
      </c>
      <c r="O3" s="8">
        <v>5.8</v>
      </c>
      <c r="P3" s="8">
        <v>123.5</v>
      </c>
      <c r="Q3" s="13">
        <f t="shared" si="6"/>
        <v>26383026146481</v>
      </c>
      <c r="R3" s="14">
        <v>5.5</v>
      </c>
      <c r="S3" s="15">
        <v>5.8687E8</v>
      </c>
      <c r="T3" s="15">
        <v>0.6</v>
      </c>
    </row>
    <row r="4">
      <c r="A4" s="11">
        <v>44075.0</v>
      </c>
      <c r="B4" s="12">
        <v>7.78282853E8</v>
      </c>
      <c r="C4" s="12">
        <v>5.6518152E8</v>
      </c>
      <c r="D4" s="12">
        <v>2.13101333E8</v>
      </c>
      <c r="E4" s="12">
        <v>4027002.0</v>
      </c>
      <c r="F4" s="12">
        <v>3147950.0</v>
      </c>
      <c r="G4" s="12">
        <v>9192275.0</v>
      </c>
      <c r="H4" s="3">
        <f t="shared" ref="H4:I4" si="7">B4/C4</f>
        <v>1.377049365</v>
      </c>
      <c r="I4" s="3">
        <f t="shared" si="7"/>
        <v>2.652172617</v>
      </c>
      <c r="J4" s="5">
        <f t="shared" si="3"/>
        <v>0.3424560297</v>
      </c>
      <c r="K4" s="6">
        <f t="shared" si="4"/>
        <v>0.4380854576</v>
      </c>
      <c r="L4" s="8">
        <f t="shared" si="5"/>
        <v>0.01181096945</v>
      </c>
      <c r="M4" s="8">
        <v>7.27</v>
      </c>
      <c r="N4" s="8">
        <v>-1.1</v>
      </c>
      <c r="O4" s="8">
        <v>6.23</v>
      </c>
      <c r="P4" s="8">
        <v>129.0</v>
      </c>
      <c r="Q4" s="13">
        <f t="shared" si="6"/>
        <v>84497919675625</v>
      </c>
      <c r="R4" s="14">
        <v>4.5</v>
      </c>
      <c r="S4" s="15">
        <v>6.1301E8</v>
      </c>
      <c r="T4" s="15">
        <v>0.6</v>
      </c>
    </row>
    <row r="5">
      <c r="A5" s="11">
        <v>44166.0</v>
      </c>
      <c r="B5" s="12">
        <v>8.19956513E8</v>
      </c>
      <c r="C5" s="12">
        <v>5.94914907E8</v>
      </c>
      <c r="D5" s="12">
        <v>2.25041606E8</v>
      </c>
      <c r="E5" s="12">
        <v>4046735.0</v>
      </c>
      <c r="F5" s="12">
        <v>2390509.0</v>
      </c>
      <c r="G5" s="12">
        <v>7657752.0</v>
      </c>
      <c r="H5" s="3">
        <f t="shared" ref="H5:I5" si="8">B5/C5</f>
        <v>1.378275285</v>
      </c>
      <c r="I5" s="3">
        <f t="shared" si="8"/>
        <v>2.643577415</v>
      </c>
      <c r="J5" s="5">
        <f t="shared" si="3"/>
        <v>0.3121685058</v>
      </c>
      <c r="K5" s="6">
        <f t="shared" si="4"/>
        <v>0.5284494719</v>
      </c>
      <c r="L5" s="8">
        <f t="shared" si="5"/>
        <v>0.009339217237</v>
      </c>
      <c r="M5" s="8">
        <v>7.2</v>
      </c>
      <c r="N5" s="8">
        <v>-0.5</v>
      </c>
      <c r="O5" s="8">
        <v>5.1</v>
      </c>
      <c r="P5" s="8">
        <v>135.0</v>
      </c>
      <c r="Q5" s="13">
        <f t="shared" si="6"/>
        <v>58641165693504</v>
      </c>
      <c r="R5" s="14">
        <v>4.5</v>
      </c>
      <c r="S5" s="15">
        <v>6.4152E8</v>
      </c>
      <c r="T5" s="15">
        <v>0.6</v>
      </c>
    </row>
    <row r="6">
      <c r="A6" s="11">
        <v>44256.0</v>
      </c>
      <c r="B6" s="12">
        <v>8.69540941E8</v>
      </c>
      <c r="C6" s="12">
        <v>6.3675164E8</v>
      </c>
      <c r="D6" s="12">
        <v>2.32789301E8</v>
      </c>
      <c r="E6" s="12">
        <v>7871586.0</v>
      </c>
      <c r="F6" s="12">
        <v>3244730.0</v>
      </c>
      <c r="G6" s="12">
        <v>1.1611759E7</v>
      </c>
      <c r="H6" s="3">
        <f t="shared" ref="H6:I6" si="9">B6/C6</f>
        <v>1.365588852</v>
      </c>
      <c r="I6" s="3">
        <f t="shared" si="9"/>
        <v>2.735313166</v>
      </c>
      <c r="J6" s="5">
        <f t="shared" si="3"/>
        <v>0.2794348384</v>
      </c>
      <c r="K6" s="6">
        <f t="shared" si="4"/>
        <v>0.6778978103</v>
      </c>
      <c r="L6" s="8">
        <f t="shared" si="5"/>
        <v>0.01335389566</v>
      </c>
      <c r="M6" s="8">
        <v>15.23</v>
      </c>
      <c r="N6" s="8">
        <v>5.2</v>
      </c>
      <c r="O6" s="8">
        <v>4.33</v>
      </c>
      <c r="P6" s="8">
        <v>292.0</v>
      </c>
      <c r="Q6" s="13">
        <f t="shared" si="6"/>
        <v>134832947074081</v>
      </c>
      <c r="R6" s="14">
        <v>4.5</v>
      </c>
      <c r="S6" s="15">
        <v>1.388E9</v>
      </c>
      <c r="T6" s="15">
        <v>1.2</v>
      </c>
    </row>
    <row r="7">
      <c r="A7" s="11">
        <v>44348.0</v>
      </c>
      <c r="B7" s="12">
        <v>9.25887499E8</v>
      </c>
      <c r="C7" s="12">
        <v>6.85959297E8</v>
      </c>
      <c r="D7" s="12">
        <v>2.39928202E8</v>
      </c>
      <c r="E7" s="12">
        <v>4134295.0</v>
      </c>
      <c r="F7" s="12">
        <v>3043184.0</v>
      </c>
      <c r="G7" s="12">
        <v>1.0428243E7</v>
      </c>
      <c r="H7" s="3">
        <f t="shared" ref="H7:I7" si="10">B7/C7</f>
        <v>1.349770319</v>
      </c>
      <c r="I7" s="3">
        <f t="shared" si="10"/>
        <v>2.859019037</v>
      </c>
      <c r="J7" s="5">
        <f t="shared" si="3"/>
        <v>0.2918213548</v>
      </c>
      <c r="K7" s="6">
        <f t="shared" si="4"/>
        <v>0.3964517321</v>
      </c>
      <c r="L7" s="8">
        <f t="shared" si="5"/>
        <v>0.01126296987</v>
      </c>
      <c r="M7" s="8">
        <v>7.7</v>
      </c>
      <c r="N7" s="8">
        <v>13.2</v>
      </c>
      <c r="O7" s="8">
        <v>5.9</v>
      </c>
      <c r="P7" s="8">
        <v>394.5</v>
      </c>
      <c r="Q7" s="13">
        <f t="shared" si="6"/>
        <v>108748252067049</v>
      </c>
      <c r="R7" s="14">
        <v>4.5</v>
      </c>
      <c r="S7" s="15">
        <v>1.875E9</v>
      </c>
      <c r="T7" s="15">
        <v>1.4</v>
      </c>
    </row>
    <row r="8">
      <c r="A8" s="11">
        <v>44440.0</v>
      </c>
      <c r="B8" s="12">
        <v>9.59475963E8</v>
      </c>
      <c r="C8" s="12">
        <v>7.11753253E8</v>
      </c>
      <c r="D8" s="12">
        <v>2.4772271E8</v>
      </c>
      <c r="E8" s="12">
        <v>1.0507156E7</v>
      </c>
      <c r="F8" s="12">
        <v>3160344.0</v>
      </c>
      <c r="G8" s="12">
        <v>1.2521936E7</v>
      </c>
      <c r="H8" s="3">
        <f t="shared" ref="H8:I8" si="11">B8/C8</f>
        <v>1.348045771</v>
      </c>
      <c r="I8" s="3">
        <f t="shared" si="11"/>
        <v>2.873185317</v>
      </c>
      <c r="J8" s="5">
        <f t="shared" si="3"/>
        <v>0.2523846153</v>
      </c>
      <c r="K8" s="6">
        <f t="shared" si="4"/>
        <v>0.8390999603</v>
      </c>
      <c r="L8" s="8">
        <f t="shared" si="5"/>
        <v>0.0130508074</v>
      </c>
      <c r="M8" s="8">
        <v>19.17</v>
      </c>
      <c r="N8" s="8">
        <v>-2.1</v>
      </c>
      <c r="O8" s="8">
        <v>6.57</v>
      </c>
      <c r="P8" s="8">
        <v>620.0</v>
      </c>
      <c r="Q8" s="13">
        <f t="shared" si="6"/>
        <v>156798881188096</v>
      </c>
      <c r="R8" s="14">
        <v>5.0</v>
      </c>
      <c r="S8" s="15">
        <v>2.946E9</v>
      </c>
      <c r="T8" s="15">
        <v>2.1</v>
      </c>
    </row>
    <row r="9">
      <c r="A9" s="11">
        <v>44531.0</v>
      </c>
      <c r="B9" s="12">
        <v>9.98852994E8</v>
      </c>
      <c r="C9" s="12">
        <v>7.51972496E8</v>
      </c>
      <c r="D9" s="12">
        <v>2.46880498E8</v>
      </c>
      <c r="E9" s="12">
        <v>9718785.0</v>
      </c>
      <c r="F9" s="12">
        <v>4253456.0</v>
      </c>
      <c r="G9" s="12">
        <v>1.3641745E7</v>
      </c>
      <c r="H9" s="3">
        <f t="shared" ref="H9:I9" si="12">B9/C9</f>
        <v>1.328310542</v>
      </c>
      <c r="I9" s="3">
        <f t="shared" si="12"/>
        <v>3.045896707</v>
      </c>
      <c r="J9" s="5">
        <f t="shared" si="3"/>
        <v>0.3117970612</v>
      </c>
      <c r="K9" s="6">
        <f t="shared" si="4"/>
        <v>0.7124297515</v>
      </c>
      <c r="L9" s="8">
        <f t="shared" si="5"/>
        <v>0.01365741013</v>
      </c>
      <c r="M9" s="8">
        <v>19.36</v>
      </c>
      <c r="N9" s="8">
        <v>2.7</v>
      </c>
      <c r="O9" s="8">
        <v>11.13</v>
      </c>
      <c r="P9" s="8">
        <v>1162.0</v>
      </c>
      <c r="Q9" s="13">
        <f t="shared" si="6"/>
        <v>186097206645025</v>
      </c>
      <c r="R9" s="14">
        <v>5.0</v>
      </c>
      <c r="S9" s="15">
        <v>5.522E9</v>
      </c>
      <c r="T9" s="15">
        <v>3.7</v>
      </c>
    </row>
    <row r="10">
      <c r="A10" s="11">
        <v>44621.0</v>
      </c>
      <c r="B10" s="12">
        <v>1.354157417E9</v>
      </c>
      <c r="C10" s="12">
        <v>9.51400782E8</v>
      </c>
      <c r="D10" s="12">
        <v>4.02756635E8</v>
      </c>
      <c r="E10" s="12">
        <v>5.3417325E7</v>
      </c>
      <c r="F10" s="12">
        <v>4980287.0</v>
      </c>
      <c r="G10" s="12">
        <v>1.8691138E7</v>
      </c>
      <c r="H10" s="3">
        <f t="shared" ref="H10:I10" si="13">B10/C10</f>
        <v>1.423330149</v>
      </c>
      <c r="I10" s="3">
        <f t="shared" si="13"/>
        <v>2.362222492</v>
      </c>
      <c r="J10" s="5">
        <f t="shared" si="3"/>
        <v>0.2664517805</v>
      </c>
      <c r="K10" s="6">
        <f t="shared" si="4"/>
        <v>2.857895811</v>
      </c>
      <c r="L10" s="8">
        <f t="shared" si="5"/>
        <v>0.0138027808</v>
      </c>
      <c r="M10" s="8">
        <v>82.8</v>
      </c>
      <c r="N10" s="8">
        <v>-0.6</v>
      </c>
      <c r="O10" s="8">
        <v>18.6</v>
      </c>
      <c r="P10" s="8">
        <v>597.0</v>
      </c>
      <c r="Q10" s="13">
        <f t="shared" si="6"/>
        <v>349358639735044</v>
      </c>
      <c r="R10" s="14">
        <v>6.5</v>
      </c>
      <c r="S10" s="15">
        <v>2.839E9</v>
      </c>
      <c r="T10" s="15">
        <v>1.8</v>
      </c>
    </row>
    <row r="11">
      <c r="A11" s="11">
        <v>44713.0</v>
      </c>
      <c r="B11" s="12">
        <v>1.692316684E9</v>
      </c>
      <c r="C11" s="12">
        <v>1.217095996E9</v>
      </c>
      <c r="D11" s="12">
        <v>4.75220688E8</v>
      </c>
      <c r="E11" s="12">
        <v>2.0627625E7</v>
      </c>
      <c r="F11" s="12">
        <v>7390062.0</v>
      </c>
      <c r="G11" s="12">
        <v>2.0676025E7</v>
      </c>
      <c r="H11" s="3">
        <f t="shared" ref="H11:I11" si="14">B11/C11</f>
        <v>1.390454565</v>
      </c>
      <c r="I11" s="3">
        <f t="shared" si="14"/>
        <v>2.561117449</v>
      </c>
      <c r="J11" s="5">
        <f t="shared" si="3"/>
        <v>0.3574217965</v>
      </c>
      <c r="K11" s="6">
        <f t="shared" si="4"/>
        <v>0.9976591245</v>
      </c>
      <c r="L11" s="8">
        <f t="shared" si="5"/>
        <v>0.01221758622</v>
      </c>
      <c r="M11" s="8">
        <v>36.11</v>
      </c>
      <c r="N11" s="8">
        <v>-5.3</v>
      </c>
      <c r="O11" s="8">
        <v>46.0</v>
      </c>
      <c r="P11" s="8">
        <v>392.25</v>
      </c>
      <c r="Q11" s="13">
        <f t="shared" si="6"/>
        <v>427498009800625</v>
      </c>
      <c r="R11" s="14">
        <v>13.5</v>
      </c>
      <c r="S11" s="15">
        <v>1.864E9</v>
      </c>
      <c r="T11" s="15">
        <v>0.8</v>
      </c>
    </row>
    <row r="12">
      <c r="A12" s="11">
        <v>44805.0</v>
      </c>
      <c r="B12" s="12">
        <v>1.70243081E9</v>
      </c>
      <c r="C12" s="12">
        <v>1.231423914E9</v>
      </c>
      <c r="D12" s="12">
        <v>4.71006896E8</v>
      </c>
      <c r="E12" s="12">
        <v>318783.0</v>
      </c>
      <c r="F12" s="12">
        <v>6502012.0</v>
      </c>
      <c r="G12" s="12">
        <v>1.8567194E7</v>
      </c>
      <c r="H12" s="3">
        <f t="shared" ref="H12:I12" si="15">B12/C12</f>
        <v>1.382489645</v>
      </c>
      <c r="I12" s="3">
        <f t="shared" si="15"/>
        <v>2.614449861</v>
      </c>
      <c r="J12" s="5">
        <f t="shared" si="3"/>
        <v>0.3501881868</v>
      </c>
      <c r="K12" s="6">
        <f t="shared" si="4"/>
        <v>0.01716915329</v>
      </c>
      <c r="L12" s="8">
        <f t="shared" si="5"/>
        <v>0.01090628406</v>
      </c>
      <c r="M12" s="8">
        <v>3.54</v>
      </c>
      <c r="N12" s="8">
        <v>-11.2</v>
      </c>
      <c r="O12" s="8">
        <v>70.2</v>
      </c>
      <c r="P12" s="8">
        <v>503.5</v>
      </c>
      <c r="Q12" s="13">
        <f t="shared" si="6"/>
        <v>344740693033636</v>
      </c>
      <c r="R12" s="14">
        <v>14.5</v>
      </c>
      <c r="S12" s="15">
        <v>2.393E9</v>
      </c>
      <c r="T12" s="15">
        <v>0.8</v>
      </c>
    </row>
    <row r="13">
      <c r="A13" s="11">
        <v>44896.0</v>
      </c>
      <c r="B13" s="12">
        <v>1.731428825E9</v>
      </c>
      <c r="C13" s="12">
        <v>1.25370896E9</v>
      </c>
      <c r="D13" s="12">
        <v>4.77719865E8</v>
      </c>
      <c r="E13" s="12">
        <v>5741971.0</v>
      </c>
      <c r="F13" s="12">
        <v>8145351.0</v>
      </c>
      <c r="G13" s="12">
        <v>2.2698782E7</v>
      </c>
      <c r="H13" s="3">
        <f t="shared" ref="H13:I13" si="16">B13/C13</f>
        <v>1.381045267</v>
      </c>
      <c r="I13" s="3">
        <f t="shared" si="16"/>
        <v>2.624360115</v>
      </c>
      <c r="J13" s="5">
        <f t="shared" si="3"/>
        <v>0.3588452896</v>
      </c>
      <c r="K13" s="6">
        <f t="shared" si="4"/>
        <v>0.2529638374</v>
      </c>
      <c r="L13" s="8">
        <f t="shared" si="5"/>
        <v>0.01310985567</v>
      </c>
      <c r="M13" s="8">
        <v>11.26</v>
      </c>
      <c r="N13" s="8">
        <v>-12.4</v>
      </c>
      <c r="O13" s="8">
        <v>64.93</v>
      </c>
      <c r="P13" s="8">
        <v>398.0</v>
      </c>
      <c r="Q13" s="13">
        <f t="shared" si="6"/>
        <v>515234704283524</v>
      </c>
      <c r="R13" s="14">
        <v>14.5</v>
      </c>
      <c r="S13" s="15">
        <v>1.891E9</v>
      </c>
      <c r="T13" s="15">
        <v>0.7</v>
      </c>
    </row>
    <row r="14">
      <c r="A14" s="11">
        <v>44986.0</v>
      </c>
      <c r="B14" s="12">
        <v>1.566181054E9</v>
      </c>
      <c r="C14" s="12">
        <v>1.13216364E9</v>
      </c>
      <c r="D14" s="12">
        <v>4.34019414E8</v>
      </c>
      <c r="E14" s="12">
        <v>4301943.0</v>
      </c>
      <c r="F14" s="12">
        <v>3872461.0</v>
      </c>
      <c r="G14" s="12">
        <v>2.0740569E7</v>
      </c>
      <c r="H14" s="3">
        <f t="shared" ref="H14:I14" si="17">B14/C14</f>
        <v>1.383352193</v>
      </c>
      <c r="I14" s="3">
        <f t="shared" si="17"/>
        <v>2.608555294</v>
      </c>
      <c r="J14" s="5">
        <f t="shared" si="3"/>
        <v>0.1867094871</v>
      </c>
      <c r="K14" s="6">
        <f t="shared" si="4"/>
        <v>0.2074168264</v>
      </c>
      <c r="L14" s="8">
        <f t="shared" si="5"/>
        <v>0.01324276586</v>
      </c>
      <c r="M14" s="8">
        <v>3.74</v>
      </c>
      <c r="N14" s="8">
        <v>-10.7</v>
      </c>
      <c r="O14" s="8">
        <v>52.0</v>
      </c>
      <c r="P14" s="8">
        <v>375.0</v>
      </c>
      <c r="Q14" s="13">
        <f t="shared" si="6"/>
        <v>430171202443761</v>
      </c>
      <c r="R14" s="14">
        <v>15.5</v>
      </c>
      <c r="S14" s="15">
        <v>1.782E9</v>
      </c>
      <c r="T14" s="15">
        <v>0.6</v>
      </c>
    </row>
    <row r="15">
      <c r="A15" s="11">
        <v>45078.0</v>
      </c>
      <c r="B15" s="12">
        <v>1.534786904E9</v>
      </c>
      <c r="C15" s="12">
        <v>1.112947076E9</v>
      </c>
      <c r="D15" s="12">
        <v>4.21839828E8</v>
      </c>
      <c r="E15" s="12">
        <v>1238233.0</v>
      </c>
      <c r="F15" s="12">
        <v>6531003.0</v>
      </c>
      <c r="G15" s="12">
        <v>2.301371E7</v>
      </c>
      <c r="H15" s="3">
        <f t="shared" ref="H15:I15" si="18">B15/C15</f>
        <v>1.379029549</v>
      </c>
      <c r="I15" s="3">
        <f t="shared" si="18"/>
        <v>2.638316731</v>
      </c>
      <c r="J15" s="5">
        <f t="shared" si="3"/>
        <v>0.2837874902</v>
      </c>
      <c r="K15" s="6">
        <f t="shared" si="4"/>
        <v>0.05380414544</v>
      </c>
      <c r="L15" s="8">
        <f t="shared" si="5"/>
        <v>0.01499472659</v>
      </c>
      <c r="M15" s="8">
        <v>8.65</v>
      </c>
      <c r="N15" s="8">
        <v>-3.0</v>
      </c>
      <c r="O15" s="8">
        <v>22.17</v>
      </c>
      <c r="P15" s="8">
        <v>363.0</v>
      </c>
      <c r="Q15" s="13">
        <f t="shared" si="6"/>
        <v>529630847964100</v>
      </c>
      <c r="R15" s="14">
        <v>13.0</v>
      </c>
      <c r="S15" s="15">
        <v>1.725E9</v>
      </c>
      <c r="T15" s="15">
        <v>0.7</v>
      </c>
    </row>
    <row r="16">
      <c r="A16" s="11">
        <v>45170.0</v>
      </c>
      <c r="B16" s="12">
        <v>1.635212921E9</v>
      </c>
      <c r="C16" s="12">
        <v>1.197823452E9</v>
      </c>
      <c r="D16" s="12">
        <v>4.37389469E8</v>
      </c>
      <c r="E16" s="12">
        <v>1802185.0</v>
      </c>
      <c r="F16" s="12">
        <v>5020882.0</v>
      </c>
      <c r="G16" s="12">
        <v>1.8155848E7</v>
      </c>
      <c r="H16" s="3">
        <f t="shared" ref="H16:I16" si="19">B16/C16</f>
        <v>1.365153536</v>
      </c>
      <c r="I16" s="3">
        <f t="shared" si="19"/>
        <v>2.738574056</v>
      </c>
      <c r="J16" s="5">
        <f t="shared" si="3"/>
        <v>0.2765435137</v>
      </c>
      <c r="K16" s="6">
        <f t="shared" si="4"/>
        <v>0.09926195681</v>
      </c>
      <c r="L16" s="8">
        <f t="shared" si="5"/>
        <v>0.01110304827</v>
      </c>
      <c r="M16" s="8">
        <v>2.57</v>
      </c>
      <c r="N16" s="8">
        <v>1.6</v>
      </c>
      <c r="O16" s="8">
        <v>2.5</v>
      </c>
      <c r="P16" s="8">
        <v>415.0</v>
      </c>
      <c r="Q16" s="13">
        <f t="shared" si="6"/>
        <v>329634816599104</v>
      </c>
      <c r="R16" s="14">
        <v>11.0</v>
      </c>
      <c r="S16" s="15">
        <v>1.972E9</v>
      </c>
      <c r="T16" s="15">
        <v>0.8</v>
      </c>
    </row>
    <row r="17">
      <c r="A17" s="11">
        <v>45261.0</v>
      </c>
      <c r="B17" s="12">
        <v>1.734427511E9</v>
      </c>
      <c r="C17" s="12">
        <v>1.244655907E9</v>
      </c>
      <c r="D17" s="12">
        <v>4.89771604E8</v>
      </c>
      <c r="E17" s="12">
        <v>2.8972562E7</v>
      </c>
      <c r="F17" s="12">
        <v>5075172.0</v>
      </c>
      <c r="G17" s="12">
        <v>1.925836E7</v>
      </c>
      <c r="H17" s="3">
        <f t="shared" ref="H17:I17" si="20">B17/C17</f>
        <v>1.393499602</v>
      </c>
      <c r="I17" s="3">
        <f t="shared" si="20"/>
        <v>2.541298632</v>
      </c>
      <c r="J17" s="5">
        <f t="shared" si="3"/>
        <v>0.263530851</v>
      </c>
      <c r="K17" s="6">
        <f t="shared" si="4"/>
        <v>1.50441481</v>
      </c>
      <c r="L17" s="8">
        <f t="shared" si="5"/>
        <v>0.0111035831</v>
      </c>
      <c r="M17" s="8">
        <v>61.87</v>
      </c>
      <c r="N17" s="8">
        <v>4.5</v>
      </c>
      <c r="O17" s="8">
        <v>2.67</v>
      </c>
      <c r="P17" s="8">
        <v>355.25</v>
      </c>
      <c r="Q17" s="13">
        <f t="shared" si="6"/>
        <v>370884429889600</v>
      </c>
      <c r="R17" s="14">
        <v>9.0</v>
      </c>
      <c r="S17" s="15">
        <v>1.688E9</v>
      </c>
      <c r="T17" s="15">
        <v>0.6</v>
      </c>
    </row>
    <row r="18">
      <c r="A18" s="11">
        <v>45352.0</v>
      </c>
      <c r="B18" s="12">
        <v>1.735118871E9</v>
      </c>
      <c r="C18" s="12">
        <v>1.246425984E9</v>
      </c>
      <c r="D18" s="12">
        <v>4.88692887E8</v>
      </c>
      <c r="E18" s="12">
        <v>1.0283239E7</v>
      </c>
      <c r="F18" s="12">
        <v>1.1085261E7</v>
      </c>
      <c r="G18" s="12">
        <v>2.5509152E7</v>
      </c>
      <c r="H18" s="3">
        <f t="shared" ref="H18:I18" si="21">B18/C18</f>
        <v>1.392075336</v>
      </c>
      <c r="I18" s="3">
        <f t="shared" si="21"/>
        <v>2.550530235</v>
      </c>
      <c r="J18" s="5">
        <f t="shared" si="3"/>
        <v>0.4345601532</v>
      </c>
      <c r="K18" s="6">
        <f t="shared" si="4"/>
        <v>0.4031195941</v>
      </c>
      <c r="L18" s="8">
        <f t="shared" si="5"/>
        <v>0.014701674</v>
      </c>
      <c r="M18" s="8">
        <v>5.05</v>
      </c>
      <c r="N18" s="8">
        <v>5.3</v>
      </c>
      <c r="O18" s="8">
        <v>4.7</v>
      </c>
      <c r="P18" s="8">
        <v>397.5</v>
      </c>
      <c r="Q18" s="13">
        <f t="shared" si="6"/>
        <v>650716835759104</v>
      </c>
      <c r="R18" s="14">
        <v>8.5</v>
      </c>
      <c r="S18" s="15">
        <v>1.889E9</v>
      </c>
      <c r="T18" s="15">
        <v>0.6</v>
      </c>
    </row>
    <row r="21" ht="15.75" customHeight="1">
      <c r="B21" s="16" t="s">
        <v>20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1.29"/>
    <col customWidth="1" min="3" max="3" width="10.71"/>
    <col customWidth="1" min="4" max="4" width="11.0"/>
    <col customWidth="1" min="5" max="5" width="15.43"/>
    <col customWidth="1" min="6" max="6" width="13.71"/>
    <col customWidth="1" min="7" max="8" width="8.71"/>
    <col customWidth="1" min="9" max="9" width="14.43"/>
    <col customWidth="1" min="10" max="26" width="8.71"/>
  </cols>
  <sheetData>
    <row r="1">
      <c r="A1" s="17" t="s">
        <v>0</v>
      </c>
      <c r="B1" s="18" t="s">
        <v>6</v>
      </c>
      <c r="C1" s="4" t="s">
        <v>8</v>
      </c>
      <c r="D1" s="10" t="s">
        <v>18</v>
      </c>
      <c r="E1" s="7" t="s">
        <v>15</v>
      </c>
      <c r="F1" s="19" t="s">
        <v>21</v>
      </c>
      <c r="G1" s="19" t="s">
        <v>22</v>
      </c>
      <c r="H1" s="19" t="s">
        <v>23</v>
      </c>
      <c r="I1" s="19" t="s">
        <v>24</v>
      </c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1">
        <v>43891.0</v>
      </c>
      <c r="B2" s="12">
        <v>6995385.0</v>
      </c>
      <c r="C2" s="3">
        <v>5.284545417997624</v>
      </c>
      <c r="D2" s="15">
        <v>4.3148E8</v>
      </c>
      <c r="E2" s="8">
        <v>90.8</v>
      </c>
      <c r="F2" s="16">
        <f t="shared" ref="F2:F18" si="1">LN(E2)</f>
        <v>4.508659286</v>
      </c>
      <c r="G2" s="16">
        <f t="shared" ref="G2:G18" si="2"> 4.791132 +0.000000015708*B2 -0.11947*C2 +0.00000000061207*D2</f>
        <v>4.53376683</v>
      </c>
      <c r="H2" s="16">
        <f t="shared" ref="H2:H18" si="3">EXP(G2)</f>
        <v>93.10862572</v>
      </c>
      <c r="I2" s="20">
        <f t="shared" ref="I2:I18" si="4">E2-H2</f>
        <v>-2.308625724</v>
      </c>
    </row>
    <row r="3">
      <c r="A3" s="11">
        <v>43983.0</v>
      </c>
      <c r="B3" s="12">
        <v>5136441.0</v>
      </c>
      <c r="C3" s="3">
        <v>3.126025851645673</v>
      </c>
      <c r="D3" s="15">
        <v>5.8687E8</v>
      </c>
      <c r="E3" s="8">
        <v>123.5</v>
      </c>
      <c r="F3" s="16">
        <f t="shared" si="1"/>
        <v>4.816241156</v>
      </c>
      <c r="G3" s="16">
        <f t="shared" si="2"/>
        <v>4.857554428</v>
      </c>
      <c r="H3" s="16">
        <f t="shared" si="3"/>
        <v>128.7090496</v>
      </c>
      <c r="I3" s="20">
        <f t="shared" si="4"/>
        <v>-5.209049605</v>
      </c>
    </row>
    <row r="4">
      <c r="A4" s="11">
        <v>44075.0</v>
      </c>
      <c r="B4" s="12">
        <v>9192275.0</v>
      </c>
      <c r="C4" s="3">
        <v>2.6521726168648603</v>
      </c>
      <c r="D4" s="15">
        <v>6.1301E8</v>
      </c>
      <c r="E4" s="8">
        <v>129.0</v>
      </c>
      <c r="F4" s="16">
        <f t="shared" si="1"/>
        <v>4.859812404</v>
      </c>
      <c r="G4" s="16">
        <f t="shared" si="2"/>
        <v>4.993874224</v>
      </c>
      <c r="H4" s="16">
        <f t="shared" si="3"/>
        <v>147.5067922</v>
      </c>
      <c r="I4" s="20">
        <f t="shared" si="4"/>
        <v>-18.50679225</v>
      </c>
    </row>
    <row r="5">
      <c r="A5" s="11">
        <v>44166.0</v>
      </c>
      <c r="B5" s="12">
        <v>7657752.0</v>
      </c>
      <c r="C5" s="3">
        <v>2.6435774147470315</v>
      </c>
      <c r="D5" s="15">
        <v>6.4152E8</v>
      </c>
      <c r="E5" s="8">
        <v>135.0</v>
      </c>
      <c r="F5" s="16">
        <f t="shared" si="1"/>
        <v>4.905274778</v>
      </c>
      <c r="G5" s="16">
        <f t="shared" si="2"/>
        <v>4.988246921</v>
      </c>
      <c r="H5" s="16">
        <f t="shared" si="3"/>
        <v>146.679058</v>
      </c>
      <c r="I5" s="20">
        <f t="shared" si="4"/>
        <v>-11.67905801</v>
      </c>
    </row>
    <row r="6">
      <c r="A6" s="11">
        <v>44256.0</v>
      </c>
      <c r="B6" s="12">
        <v>1.1611759E7</v>
      </c>
      <c r="C6" s="3">
        <v>2.7353131663039787</v>
      </c>
      <c r="D6" s="15">
        <v>1.388E9</v>
      </c>
      <c r="E6" s="8">
        <v>292.0</v>
      </c>
      <c r="F6" s="16">
        <f t="shared" si="1"/>
        <v>5.676753802</v>
      </c>
      <c r="G6" s="16">
        <f t="shared" si="2"/>
        <v>5.496294806</v>
      </c>
      <c r="H6" s="16">
        <f t="shared" si="3"/>
        <v>243.7869788</v>
      </c>
      <c r="I6" s="20">
        <f t="shared" si="4"/>
        <v>48.21302117</v>
      </c>
    </row>
    <row r="7">
      <c r="A7" s="11">
        <v>44348.0</v>
      </c>
      <c r="B7" s="12">
        <v>1.0428243E7</v>
      </c>
      <c r="C7" s="3">
        <v>2.859019036870038</v>
      </c>
      <c r="D7" s="15">
        <v>1.875E9</v>
      </c>
      <c r="E7" s="8">
        <v>394.5</v>
      </c>
      <c r="F7" s="16">
        <f t="shared" si="1"/>
        <v>5.97761914</v>
      </c>
      <c r="G7" s="16">
        <f t="shared" si="2"/>
        <v>5.761003087</v>
      </c>
      <c r="H7" s="16">
        <f t="shared" si="3"/>
        <v>317.6668165</v>
      </c>
      <c r="I7" s="20">
        <f t="shared" si="4"/>
        <v>76.83318348</v>
      </c>
    </row>
    <row r="8">
      <c r="A8" s="11">
        <v>44440.0</v>
      </c>
      <c r="B8" s="12">
        <v>1.2521936E7</v>
      </c>
      <c r="C8" s="3">
        <v>2.8731853167600176</v>
      </c>
      <c r="D8" s="15">
        <v>2.946E9</v>
      </c>
      <c r="E8" s="8">
        <v>620.0</v>
      </c>
      <c r="F8" s="16">
        <f t="shared" si="1"/>
        <v>6.429719478</v>
      </c>
      <c r="G8" s="16">
        <f t="shared" si="2"/>
        <v>6.447725341</v>
      </c>
      <c r="H8" s="16">
        <f t="shared" si="3"/>
        <v>631.2647464</v>
      </c>
      <c r="I8" s="20">
        <f t="shared" si="4"/>
        <v>-11.26474636</v>
      </c>
    </row>
    <row r="9">
      <c r="A9" s="11">
        <v>44531.0</v>
      </c>
      <c r="B9" s="12">
        <v>1.3641745E7</v>
      </c>
      <c r="C9" s="3">
        <v>3.0458967074831484</v>
      </c>
      <c r="D9" s="15">
        <v>4.022E9</v>
      </c>
      <c r="E9" s="8">
        <v>1162.0</v>
      </c>
      <c r="F9" s="16">
        <f t="shared" si="1"/>
        <v>7.057897937</v>
      </c>
      <c r="G9" s="16">
        <f t="shared" si="2"/>
        <v>7.103268791</v>
      </c>
      <c r="H9" s="16">
        <f t="shared" si="3"/>
        <v>1215.935223</v>
      </c>
      <c r="I9" s="20">
        <f t="shared" si="4"/>
        <v>-53.93522333</v>
      </c>
    </row>
    <row r="10">
      <c r="A10" s="11">
        <v>44621.0</v>
      </c>
      <c r="B10" s="12">
        <v>1.8691138E7</v>
      </c>
      <c r="C10" s="3">
        <v>2.362222492001901</v>
      </c>
      <c r="D10" s="15">
        <v>2.839E9</v>
      </c>
      <c r="E10" s="8">
        <v>597.0</v>
      </c>
      <c r="F10" s="16">
        <f t="shared" si="1"/>
        <v>6.391917113</v>
      </c>
      <c r="G10" s="16">
        <f t="shared" si="2"/>
        <v>6.540184405</v>
      </c>
      <c r="H10" s="16">
        <f t="shared" si="3"/>
        <v>692.4142506</v>
      </c>
      <c r="I10" s="20">
        <f t="shared" si="4"/>
        <v>-95.41425063</v>
      </c>
    </row>
    <row r="11">
      <c r="A11" s="11">
        <v>44713.0</v>
      </c>
      <c r="B11" s="12">
        <v>2.0676025E7</v>
      </c>
      <c r="C11" s="3">
        <v>2.5611174486578747</v>
      </c>
      <c r="D11" s="15">
        <v>1.864E9</v>
      </c>
      <c r="E11" s="8">
        <v>392.25</v>
      </c>
      <c r="F11" s="16">
        <f t="shared" si="1"/>
        <v>5.971899392</v>
      </c>
      <c r="G11" s="16">
        <f t="shared" si="2"/>
        <v>5.950832779</v>
      </c>
      <c r="H11" s="16">
        <f t="shared" si="3"/>
        <v>384.0730539</v>
      </c>
      <c r="I11" s="20">
        <f t="shared" si="4"/>
        <v>8.176946068</v>
      </c>
    </row>
    <row r="12">
      <c r="A12" s="11">
        <v>44805.0</v>
      </c>
      <c r="B12" s="12">
        <v>1.8567194E7</v>
      </c>
      <c r="C12" s="3">
        <v>2.614449861472941</v>
      </c>
      <c r="D12" s="15">
        <v>2.393E9</v>
      </c>
      <c r="E12" s="8">
        <v>503.5</v>
      </c>
      <c r="F12" s="16">
        <f t="shared" si="1"/>
        <v>6.221583712</v>
      </c>
      <c r="G12" s="16">
        <f t="shared" si="2"/>
        <v>6.235120668</v>
      </c>
      <c r="H12" s="16">
        <f t="shared" si="3"/>
        <v>510.3621993</v>
      </c>
      <c r="I12" s="20">
        <f t="shared" si="4"/>
        <v>-6.862199324</v>
      </c>
    </row>
    <row r="13">
      <c r="A13" s="11">
        <v>44896.0</v>
      </c>
      <c r="B13" s="12">
        <v>2.2698782E7</v>
      </c>
      <c r="C13" s="3">
        <v>2.6243601153156986</v>
      </c>
      <c r="D13" s="15">
        <v>1.891E9</v>
      </c>
      <c r="E13" s="8">
        <v>398.0</v>
      </c>
      <c r="F13" s="16">
        <f t="shared" si="1"/>
        <v>5.986452005</v>
      </c>
      <c r="G13" s="16">
        <f t="shared" si="2"/>
        <v>5.991576535</v>
      </c>
      <c r="H13" s="16">
        <f t="shared" si="3"/>
        <v>400.0447975</v>
      </c>
      <c r="I13" s="20">
        <f t="shared" si="4"/>
        <v>-2.044797537</v>
      </c>
    </row>
    <row r="14">
      <c r="A14" s="11">
        <v>44986.0</v>
      </c>
      <c r="B14" s="12">
        <v>2.0740569E7</v>
      </c>
      <c r="C14" s="3">
        <v>2.6085552937961434</v>
      </c>
      <c r="D14" s="15">
        <v>1.782E9</v>
      </c>
      <c r="E14" s="8">
        <v>375.0</v>
      </c>
      <c r="F14" s="16">
        <f t="shared" si="1"/>
        <v>5.926926026</v>
      </c>
      <c r="G14" s="16">
        <f t="shared" si="2"/>
        <v>5.895989497</v>
      </c>
      <c r="H14" s="16">
        <f t="shared" si="3"/>
        <v>363.5764157</v>
      </c>
      <c r="I14" s="20">
        <f t="shared" si="4"/>
        <v>11.42358429</v>
      </c>
    </row>
    <row r="15">
      <c r="A15" s="11">
        <v>45078.0</v>
      </c>
      <c r="B15" s="12">
        <v>2.301371E7</v>
      </c>
      <c r="C15" s="3">
        <v>2.6383167309654794</v>
      </c>
      <c r="D15" s="15">
        <v>1.725E9</v>
      </c>
      <c r="E15" s="8">
        <v>363.0</v>
      </c>
      <c r="F15" s="16">
        <f t="shared" si="1"/>
        <v>5.894402834</v>
      </c>
      <c r="G15" s="16">
        <f t="shared" si="2"/>
        <v>5.893252407</v>
      </c>
      <c r="H15" s="16">
        <f t="shared" si="3"/>
        <v>362.582635</v>
      </c>
      <c r="I15" s="20">
        <f t="shared" si="4"/>
        <v>0.4173650382</v>
      </c>
    </row>
    <row r="16">
      <c r="A16" s="11">
        <v>45170.0</v>
      </c>
      <c r="B16" s="12">
        <v>1.8155848E7</v>
      </c>
      <c r="C16" s="3">
        <v>2.738574055609007</v>
      </c>
      <c r="D16" s="15">
        <v>1.972E9</v>
      </c>
      <c r="E16" s="8">
        <v>415.0</v>
      </c>
      <c r="F16" s="16">
        <f t="shared" si="1"/>
        <v>6.02827852</v>
      </c>
      <c r="G16" s="16">
        <f t="shared" si="2"/>
        <v>5.956148658</v>
      </c>
      <c r="H16" s="16">
        <f t="shared" si="3"/>
        <v>386.1201761</v>
      </c>
      <c r="I16" s="20">
        <f t="shared" si="4"/>
        <v>28.87982394</v>
      </c>
    </row>
    <row r="17">
      <c r="A17" s="11">
        <v>45261.0</v>
      </c>
      <c r="B17" s="12">
        <v>1.925836E7</v>
      </c>
      <c r="C17" s="3">
        <v>2.5412986315147825</v>
      </c>
      <c r="D17" s="15">
        <v>1.688E9</v>
      </c>
      <c r="E17" s="8">
        <v>355.25</v>
      </c>
      <c r="F17" s="16">
        <f t="shared" si="1"/>
        <v>5.872821767</v>
      </c>
      <c r="G17" s="16">
        <f t="shared" si="2"/>
        <v>5.823207531</v>
      </c>
      <c r="H17" s="16">
        <f t="shared" si="3"/>
        <v>338.0546373</v>
      </c>
      <c r="I17" s="20">
        <f t="shared" si="4"/>
        <v>17.19536265</v>
      </c>
    </row>
    <row r="18">
      <c r="A18" s="11">
        <v>45352.0</v>
      </c>
      <c r="B18" s="12">
        <v>2.5509152E7</v>
      </c>
      <c r="C18" s="3">
        <v>2.550530235157689</v>
      </c>
      <c r="D18" s="15">
        <v>1.889E9</v>
      </c>
      <c r="E18" s="8">
        <v>397.5</v>
      </c>
      <c r="F18" s="16">
        <f t="shared" si="1"/>
        <v>5.985194934</v>
      </c>
      <c r="G18" s="16">
        <f t="shared" si="2"/>
        <v>6.043318142</v>
      </c>
      <c r="H18" s="16">
        <f t="shared" si="3"/>
        <v>421.2886139</v>
      </c>
      <c r="I18" s="20">
        <f t="shared" si="4"/>
        <v>-23.78861386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2024-08-19T06:03:57Z</dcterms:created>
  <dc:creator>HP</dc:creator>
</cp:coreProperties>
</file>