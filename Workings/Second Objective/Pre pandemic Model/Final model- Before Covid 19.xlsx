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fore covid data set" sheetId="1" r:id="rId4"/>
    <sheet state="visible" name="Predicted values using Before C" sheetId="2" r:id="rId5"/>
  </sheets>
  <definedNames/>
  <calcPr/>
  <extLst>
    <ext uri="GoogleSheetsCustomDataVersion2">
      <go:sheetsCustomData xmlns:go="http://customooxmlschemas.google.com/" r:id="rId6" roundtripDataChecksum="ZfvB+iCPgtiZivjln8R0Bfm3o7LEpwGOaqU7NSqlDxM="/>
    </ext>
  </extLst>
</workbook>
</file>

<file path=xl/sharedStrings.xml><?xml version="1.0" encoding="utf-8"?>
<sst xmlns="http://schemas.openxmlformats.org/spreadsheetml/2006/main" count="29" uniqueCount="24">
  <si>
    <t>Quarters</t>
  </si>
  <si>
    <t>Total Assets</t>
  </si>
  <si>
    <t>Total Liabilities</t>
  </si>
  <si>
    <t>Total Equity</t>
  </si>
  <si>
    <t>Net Income</t>
  </si>
  <si>
    <t>Grossprofit</t>
  </si>
  <si>
    <t>Revenue</t>
  </si>
  <si>
    <t>Current Ratio</t>
  </si>
  <si>
    <t>Debt to equity Ratio</t>
  </si>
  <si>
    <t>Gross profit Margin</t>
  </si>
  <si>
    <t>Net Profit Margin</t>
  </si>
  <si>
    <t>Assets Turn Over Ratio</t>
  </si>
  <si>
    <t>Earnings Per share</t>
  </si>
  <si>
    <t>GDP</t>
  </si>
  <si>
    <t>Inflation</t>
  </si>
  <si>
    <t>Stock price</t>
  </si>
  <si>
    <t>Revenue_squre</t>
  </si>
  <si>
    <t>Interest Rates</t>
  </si>
  <si>
    <t>Market Capital</t>
  </si>
  <si>
    <t>Price/Book value</t>
  </si>
  <si>
    <t>ln(Stock prices)</t>
  </si>
  <si>
    <t>Model</t>
  </si>
  <si>
    <t>Predicted stock prices</t>
  </si>
  <si>
    <t>residuals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</si>
</sst>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000000"/>
    <numFmt numFmtId="165" formatCode="0.00000%"/>
    <numFmt numFmtId="166" formatCode="0.0000%"/>
    <numFmt numFmtId="167" formatCode="0.00000000"/>
    <numFmt numFmtId="168" formatCode="yyyy\-mmmm"/>
    <numFmt numFmtId="169" formatCode="yyyy\ mmmm"/>
  </numFmts>
  <fonts count="6">
    <font>
      <sz val="11.0"/>
      <color theme="1"/>
      <name val="Calibri"/>
      <scheme val="minor"/>
    </font>
    <font>
      <sz val="12.0"/>
      <color theme="1"/>
      <name val="Calibri"/>
    </font>
    <font>
      <sz val="10.0"/>
      <color rgb="FF000000"/>
      <name val="Calibri"/>
    </font>
    <font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1" numFmtId="164" xfId="0" applyFont="1" applyNumberFormat="1"/>
    <xf borderId="0" fillId="0" fontId="1" numFmtId="164" xfId="0" applyAlignment="1" applyFont="1" applyNumberFormat="1">
      <alignment shrinkToFit="0" wrapText="1"/>
    </xf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Alignment="1" applyFont="1" applyNumberFormat="1">
      <alignment shrinkToFit="0" wrapText="1"/>
    </xf>
    <xf borderId="0" fillId="0" fontId="1" numFmtId="167" xfId="0" applyFont="1" applyNumberFormat="1"/>
    <xf borderId="0" fillId="0" fontId="1" numFmtId="2" xfId="0" applyFont="1" applyNumberFormat="1"/>
    <xf borderId="1" fillId="0" fontId="2" numFmtId="0" xfId="0" applyAlignment="1" applyBorder="1" applyFont="1">
      <alignment shrinkToFit="0" wrapText="1"/>
    </xf>
    <xf borderId="0" fillId="0" fontId="1" numFmtId="168" xfId="0" applyAlignment="1" applyFont="1" applyNumberFormat="1">
      <alignment horizontal="left"/>
    </xf>
    <xf borderId="0" fillId="0" fontId="1" numFmtId="3" xfId="0" applyFont="1" applyNumberFormat="1"/>
    <xf borderId="0" fillId="0" fontId="3" numFmtId="3" xfId="0" applyFont="1" applyNumberFormat="1"/>
    <xf borderId="1" fillId="0" fontId="2" numFmtId="2" xfId="0" applyAlignment="1" applyBorder="1" applyFont="1" applyNumberFormat="1">
      <alignment horizontal="right" shrinkToFit="0" wrapText="1"/>
    </xf>
    <xf borderId="1" fillId="0" fontId="2" numFmtId="0" xfId="0" applyAlignment="1" applyBorder="1" applyFont="1">
      <alignment horizontal="right" shrinkToFit="0" wrapText="1"/>
    </xf>
    <xf borderId="0" fillId="0" fontId="1" numFmtId="169" xfId="0" applyAlignment="1" applyFont="1" applyNumberFormat="1">
      <alignment horizontal="left"/>
    </xf>
    <xf borderId="0" fillId="0" fontId="4" numFmtId="0" xfId="0" applyFont="1"/>
    <xf borderId="0" fillId="0" fontId="5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Pre Covid 19</a:t>
            </a:r>
          </a:p>
        </c:rich>
      </c:tx>
      <c:overlay val="0"/>
    </c:title>
    <c:plotArea>
      <c:layout/>
      <c:lineChart>
        <c:ser>
          <c:idx val="0"/>
          <c:order val="0"/>
          <c:tx>
            <c:v>Stock price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'Predicted values using Before C'!$A$2:$A$25</c:f>
            </c:strRef>
          </c:cat>
          <c:val>
            <c:numRef>
              <c:f>'Predicted values using Before C'!$E$2:$E$25</c:f>
              <c:numCache/>
            </c:numRef>
          </c:val>
          <c:smooth val="0"/>
        </c:ser>
        <c:ser>
          <c:idx val="1"/>
          <c:order val="1"/>
          <c:tx>
            <c:v>Predicted stock prices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'Predicted values using Before C'!$A$2:$A$25</c:f>
            </c:strRef>
          </c:cat>
          <c:val>
            <c:numRef>
              <c:f>'Predicted values using Before C'!$H$2:$H$25</c:f>
              <c:numCache/>
            </c:numRef>
          </c:val>
          <c:smooth val="0"/>
        </c:ser>
        <c:axId val="504916498"/>
        <c:axId val="199221087"/>
      </c:lineChart>
      <c:catAx>
        <c:axId val="5049164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9221087"/>
      </c:catAx>
      <c:valAx>
        <c:axId val="1992210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50491649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161925</xdr:colOff>
      <xdr:row>2</xdr:row>
      <xdr:rowOff>200025</xdr:rowOff>
    </xdr:from>
    <xdr:ext cx="4543425" cy="2609850"/>
    <xdr:graphicFrame>
      <xdr:nvGraphicFramePr>
        <xdr:cNvPr id="120862339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4.29"/>
    <col customWidth="1" min="3" max="3" width="15.43"/>
    <col customWidth="1" min="4" max="4" width="12.43"/>
    <col customWidth="1" min="5" max="5" width="11.57"/>
    <col customWidth="1" min="6" max="6" width="11.29"/>
    <col customWidth="1" min="7" max="7" width="10.14"/>
    <col customWidth="1" min="8" max="8" width="13.43"/>
    <col customWidth="1" min="9" max="9" width="10.71"/>
    <col customWidth="1" min="10" max="10" width="19.29"/>
    <col customWidth="1" min="11" max="11" width="17.29"/>
    <col customWidth="1" min="12" max="12" width="11.86"/>
    <col customWidth="1" min="13" max="13" width="13.14"/>
    <col customWidth="1" min="14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2" t="s">
        <v>16</v>
      </c>
      <c r="R1" s="9" t="s">
        <v>17</v>
      </c>
      <c r="S1" s="10" t="s">
        <v>18</v>
      </c>
      <c r="T1" s="10" t="s">
        <v>19</v>
      </c>
    </row>
    <row r="2">
      <c r="A2" s="11">
        <v>41699.0</v>
      </c>
      <c r="B2" s="12">
        <v>1.75460498E8</v>
      </c>
      <c r="C2" s="12">
        <v>1.30660608E8</v>
      </c>
      <c r="D2" s="12">
        <v>4.479989E7</v>
      </c>
      <c r="E2" s="12">
        <v>1137035.0</v>
      </c>
      <c r="F2" s="12">
        <v>1204699.0</v>
      </c>
      <c r="G2" s="12">
        <v>2119259.0</v>
      </c>
      <c r="H2" s="3">
        <f t="shared" ref="H2:I2" si="1">B2/C2</f>
        <v>1.342872199</v>
      </c>
      <c r="I2" s="3">
        <f t="shared" si="1"/>
        <v>2.91653859</v>
      </c>
      <c r="J2" s="5">
        <f t="shared" ref="J2:J25" si="3">F2/G2</f>
        <v>0.5684529357</v>
      </c>
      <c r="K2" s="6">
        <f t="shared" ref="K2:K25" si="4">E2/G2</f>
        <v>0.5365247948</v>
      </c>
      <c r="L2" s="8">
        <f t="shared" ref="L2:L25" si="5">G2/B2</f>
        <v>0.01207826847</v>
      </c>
      <c r="M2" s="8">
        <v>0.5</v>
      </c>
      <c r="N2" s="8">
        <v>1.3</v>
      </c>
      <c r="O2" s="8">
        <v>4.27</v>
      </c>
      <c r="P2" s="8">
        <v>75.0</v>
      </c>
      <c r="Q2" s="13">
        <f t="shared" ref="Q2:Q25" si="6">G2^2</f>
        <v>4491258709081</v>
      </c>
      <c r="R2" s="14">
        <v>6.5</v>
      </c>
      <c r="S2" s="15">
        <v>4.3623E8</v>
      </c>
      <c r="T2" s="15">
        <v>1.9</v>
      </c>
    </row>
    <row r="3">
      <c r="A3" s="16">
        <v>41791.0</v>
      </c>
      <c r="B3" s="12">
        <v>1.77180703E8</v>
      </c>
      <c r="C3" s="12">
        <v>1.3133399E8</v>
      </c>
      <c r="D3" s="12">
        <v>4.5846713E7</v>
      </c>
      <c r="E3" s="12">
        <v>1012474.0</v>
      </c>
      <c r="F3" s="12">
        <v>621214.0</v>
      </c>
      <c r="G3" s="12">
        <v>2268378.0</v>
      </c>
      <c r="H3" s="3">
        <f t="shared" ref="H3:I3" si="2">B3/C3</f>
        <v>1.349084902</v>
      </c>
      <c r="I3" s="3">
        <f t="shared" si="2"/>
        <v>2.864632629</v>
      </c>
      <c r="J3" s="5">
        <f t="shared" si="3"/>
        <v>0.273858237</v>
      </c>
      <c r="K3" s="6">
        <f t="shared" si="4"/>
        <v>0.4463427171</v>
      </c>
      <c r="L3" s="8">
        <f t="shared" si="5"/>
        <v>0.01280262445</v>
      </c>
      <c r="M3" s="8">
        <v>1.95</v>
      </c>
      <c r="N3" s="8">
        <v>2.2</v>
      </c>
      <c r="O3" s="8">
        <v>3.87</v>
      </c>
      <c r="P3" s="8">
        <v>91.8</v>
      </c>
      <c r="Q3" s="13">
        <f t="shared" si="6"/>
        <v>5145538750884</v>
      </c>
      <c r="R3" s="14">
        <v>6.5</v>
      </c>
      <c r="S3" s="15">
        <v>4.3623E8</v>
      </c>
      <c r="T3" s="15">
        <v>1.9</v>
      </c>
    </row>
    <row r="4">
      <c r="A4" s="11">
        <v>41883.0</v>
      </c>
      <c r="B4" s="12">
        <v>2.04314999E8</v>
      </c>
      <c r="C4" s="12">
        <v>1.54150141E8</v>
      </c>
      <c r="D4" s="12">
        <v>5.0164858E7</v>
      </c>
      <c r="E4" s="12">
        <v>1793064.0</v>
      </c>
      <c r="F4" s="12">
        <v>793836.0</v>
      </c>
      <c r="G4" s="12">
        <v>2537153.0</v>
      </c>
      <c r="H4" s="3">
        <f t="shared" ref="H4:I4" si="7">B4/C4</f>
        <v>1.325428557</v>
      </c>
      <c r="I4" s="3">
        <f t="shared" si="7"/>
        <v>3.072871072</v>
      </c>
      <c r="J4" s="5">
        <f t="shared" si="3"/>
        <v>0.31288456</v>
      </c>
      <c r="K4" s="6">
        <f t="shared" si="4"/>
        <v>0.7067228504</v>
      </c>
      <c r="L4" s="8">
        <f t="shared" si="5"/>
        <v>0.01241784995</v>
      </c>
      <c r="M4" s="8">
        <v>3.34</v>
      </c>
      <c r="N4" s="8">
        <v>5.1</v>
      </c>
      <c r="O4" s="8">
        <v>3.53</v>
      </c>
      <c r="P4" s="8">
        <v>85.4</v>
      </c>
      <c r="Q4" s="13">
        <f t="shared" si="6"/>
        <v>6437145345409</v>
      </c>
      <c r="R4" s="14">
        <v>6.5</v>
      </c>
      <c r="S4" s="15">
        <v>4.0582E8</v>
      </c>
      <c r="T4" s="15">
        <v>1.7</v>
      </c>
    </row>
    <row r="5">
      <c r="A5" s="11">
        <v>41974.0</v>
      </c>
      <c r="B5" s="12">
        <v>2.14286292E8</v>
      </c>
      <c r="C5" s="12">
        <v>1.669609E8</v>
      </c>
      <c r="D5" s="12">
        <v>4.7325392E7</v>
      </c>
      <c r="E5" s="12">
        <v>1531584.0</v>
      </c>
      <c r="F5" s="12">
        <v>923870.0</v>
      </c>
      <c r="G5" s="12">
        <v>2928167.0</v>
      </c>
      <c r="H5" s="3">
        <f t="shared" ref="H5:I5" si="8">B5/C5</f>
        <v>1.283451946</v>
      </c>
      <c r="I5" s="3">
        <f t="shared" si="8"/>
        <v>3.527934856</v>
      </c>
      <c r="J5" s="5">
        <f t="shared" si="3"/>
        <v>0.3155113762</v>
      </c>
      <c r="K5" s="6">
        <f t="shared" si="4"/>
        <v>0.5230521347</v>
      </c>
      <c r="L5" s="8">
        <f t="shared" si="5"/>
        <v>0.01366474249</v>
      </c>
      <c r="M5" s="8">
        <v>2.64</v>
      </c>
      <c r="N5" s="8">
        <v>10.6</v>
      </c>
      <c r="O5" s="8">
        <v>2.4</v>
      </c>
      <c r="P5" s="8">
        <v>88.0</v>
      </c>
      <c r="Q5" s="13">
        <f t="shared" si="6"/>
        <v>8574161979889</v>
      </c>
      <c r="R5" s="14">
        <v>6.5</v>
      </c>
      <c r="S5" s="15">
        <v>4.1818E8</v>
      </c>
      <c r="T5" s="15">
        <v>1.6</v>
      </c>
    </row>
    <row r="6">
      <c r="A6" s="11">
        <v>42064.0</v>
      </c>
      <c r="B6" s="12">
        <v>2.45970406E8</v>
      </c>
      <c r="C6" s="12">
        <v>1.88797138E8</v>
      </c>
      <c r="D6" s="12">
        <v>5.7173268E7</v>
      </c>
      <c r="E6" s="12">
        <v>1942587.0</v>
      </c>
      <c r="F6" s="12">
        <v>1226011.0</v>
      </c>
      <c r="G6" s="12">
        <v>3044023.0</v>
      </c>
      <c r="H6" s="3">
        <f t="shared" ref="H6:I6" si="9">B6/C6</f>
        <v>1.302829103</v>
      </c>
      <c r="I6" s="3">
        <f t="shared" si="9"/>
        <v>3.302192521</v>
      </c>
      <c r="J6" s="5">
        <f t="shared" si="3"/>
        <v>0.4027600974</v>
      </c>
      <c r="K6" s="6">
        <f t="shared" si="4"/>
        <v>0.6381643634</v>
      </c>
      <c r="L6" s="8">
        <f t="shared" si="5"/>
        <v>0.01237556603</v>
      </c>
      <c r="M6" s="8">
        <v>3.44</v>
      </c>
      <c r="N6" s="8">
        <v>3.9</v>
      </c>
      <c r="O6" s="8">
        <v>6.47</v>
      </c>
      <c r="P6" s="8">
        <v>76.6</v>
      </c>
      <c r="Q6" s="13">
        <f t="shared" si="6"/>
        <v>9266076024529</v>
      </c>
      <c r="R6" s="14">
        <v>6.5</v>
      </c>
      <c r="S6" s="15">
        <v>3.64E8</v>
      </c>
      <c r="T6" s="15">
        <v>1.3</v>
      </c>
    </row>
    <row r="7">
      <c r="A7" s="16">
        <v>42156.0</v>
      </c>
      <c r="B7" s="12">
        <v>2.65826696E8</v>
      </c>
      <c r="C7" s="12">
        <v>2.06755537E8</v>
      </c>
      <c r="D7" s="12">
        <v>5.9071159E7</v>
      </c>
      <c r="E7" s="12">
        <v>2063903.0</v>
      </c>
      <c r="F7" s="12">
        <v>1449960.0</v>
      </c>
      <c r="G7" s="12">
        <v>4064938.0</v>
      </c>
      <c r="H7" s="3">
        <f t="shared" ref="H7:I7" si="10">B7/C7</f>
        <v>1.28570533</v>
      </c>
      <c r="I7" s="3">
        <f t="shared" si="10"/>
        <v>3.500109707</v>
      </c>
      <c r="J7" s="5">
        <f t="shared" si="3"/>
        <v>0.3566991674</v>
      </c>
      <c r="K7" s="6">
        <f t="shared" si="4"/>
        <v>0.5077329593</v>
      </c>
      <c r="L7" s="8">
        <f t="shared" si="5"/>
        <v>0.01529168462</v>
      </c>
      <c r="M7" s="8">
        <v>3.9</v>
      </c>
      <c r="N7" s="8">
        <v>7.1</v>
      </c>
      <c r="O7" s="8">
        <v>2.83</v>
      </c>
      <c r="P7" s="8">
        <v>99.7</v>
      </c>
      <c r="Q7" s="13">
        <f t="shared" si="6"/>
        <v>16523720943844</v>
      </c>
      <c r="R7" s="14">
        <v>6.0</v>
      </c>
      <c r="S7" s="15">
        <v>4.7377E8</v>
      </c>
      <c r="T7" s="15">
        <v>1.7</v>
      </c>
    </row>
    <row r="8">
      <c r="A8" s="11">
        <v>42248.0</v>
      </c>
      <c r="B8" s="12">
        <v>2.92433074E8</v>
      </c>
      <c r="C8" s="12">
        <v>2.30605159E8</v>
      </c>
      <c r="D8" s="12">
        <v>6.1827915E7</v>
      </c>
      <c r="E8" s="12">
        <v>2396338.0</v>
      </c>
      <c r="F8" s="12">
        <v>1603769.0</v>
      </c>
      <c r="G8" s="12">
        <v>5189030.0</v>
      </c>
      <c r="H8" s="3">
        <f t="shared" ref="H8:I8" si="11">B8/C8</f>
        <v>1.268111586</v>
      </c>
      <c r="I8" s="3">
        <f t="shared" si="11"/>
        <v>3.729790322</v>
      </c>
      <c r="J8" s="5">
        <f t="shared" si="3"/>
        <v>0.3090691324</v>
      </c>
      <c r="K8" s="6">
        <f t="shared" si="4"/>
        <v>0.461808469</v>
      </c>
      <c r="L8" s="8">
        <f t="shared" si="5"/>
        <v>0.01774433353</v>
      </c>
      <c r="M8" s="8">
        <v>4.54</v>
      </c>
      <c r="N8" s="8">
        <v>5.9</v>
      </c>
      <c r="O8" s="8">
        <v>1.87</v>
      </c>
      <c r="P8" s="8">
        <v>96.6</v>
      </c>
      <c r="Q8" s="13">
        <f t="shared" si="6"/>
        <v>26926032340900</v>
      </c>
      <c r="R8" s="14">
        <v>6.0</v>
      </c>
      <c r="S8" s="15">
        <v>4.5904E8</v>
      </c>
      <c r="T8" s="15">
        <v>1.5</v>
      </c>
    </row>
    <row r="9">
      <c r="A9" s="11">
        <v>42339.0</v>
      </c>
      <c r="B9" s="12">
        <v>3.17413478E8</v>
      </c>
      <c r="C9" s="12">
        <v>2.55023812E8</v>
      </c>
      <c r="D9" s="12">
        <v>6.2389666E7</v>
      </c>
      <c r="E9" s="12">
        <v>2674837.0</v>
      </c>
      <c r="F9" s="12">
        <v>1688881.0</v>
      </c>
      <c r="G9" s="12">
        <v>5351834.0</v>
      </c>
      <c r="H9" s="3">
        <f t="shared" ref="H9:I9" si="12">B9/C9</f>
        <v>1.244642512</v>
      </c>
      <c r="I9" s="3">
        <f t="shared" si="12"/>
        <v>4.087597007</v>
      </c>
      <c r="J9" s="5">
        <f t="shared" si="3"/>
        <v>0.3155705128</v>
      </c>
      <c r="K9" s="6">
        <f t="shared" si="4"/>
        <v>0.4997982</v>
      </c>
      <c r="L9" s="8">
        <f t="shared" si="5"/>
        <v>0.01686076481</v>
      </c>
      <c r="M9" s="8">
        <v>4.66</v>
      </c>
      <c r="N9" s="8">
        <v>3.3</v>
      </c>
      <c r="O9" s="8">
        <v>4.0</v>
      </c>
      <c r="P9" s="8">
        <v>94.0</v>
      </c>
      <c r="Q9" s="13">
        <f t="shared" si="6"/>
        <v>28642127163556</v>
      </c>
      <c r="R9" s="14">
        <v>6.0</v>
      </c>
      <c r="S9" s="15">
        <v>4.4669E8</v>
      </c>
      <c r="T9" s="15">
        <v>1.4</v>
      </c>
    </row>
    <row r="10">
      <c r="A10" s="11">
        <v>42430.0</v>
      </c>
      <c r="B10" s="12">
        <v>3.79384198E8</v>
      </c>
      <c r="C10" s="12">
        <v>3.13218328E8</v>
      </c>
      <c r="D10" s="12">
        <v>6.616587E7</v>
      </c>
      <c r="E10" s="12">
        <v>2196309.0</v>
      </c>
      <c r="F10" s="12">
        <v>2824063.0</v>
      </c>
      <c r="G10" s="12">
        <v>5663722.0</v>
      </c>
      <c r="H10" s="3">
        <f t="shared" ref="H10:I10" si="13">B10/C10</f>
        <v>1.211245205</v>
      </c>
      <c r="I10" s="3">
        <f t="shared" si="13"/>
        <v>4.733835254</v>
      </c>
      <c r="J10" s="5">
        <f t="shared" si="3"/>
        <v>0.4986231669</v>
      </c>
      <c r="K10" s="6">
        <f t="shared" si="4"/>
        <v>0.3877854527</v>
      </c>
      <c r="L10" s="8">
        <f t="shared" si="5"/>
        <v>0.01492872405</v>
      </c>
      <c r="M10" s="8">
        <v>4.83</v>
      </c>
      <c r="N10" s="8">
        <v>6.7</v>
      </c>
      <c r="O10" s="8">
        <v>1.07</v>
      </c>
      <c r="P10" s="8">
        <v>72.0</v>
      </c>
      <c r="Q10" s="13">
        <f t="shared" si="6"/>
        <v>32077746893284</v>
      </c>
      <c r="R10" s="14">
        <v>6.5</v>
      </c>
      <c r="S10" s="15">
        <v>3.4214E8</v>
      </c>
      <c r="T10" s="15">
        <v>1.0</v>
      </c>
    </row>
    <row r="11">
      <c r="A11" s="16">
        <v>42522.0</v>
      </c>
      <c r="B11" s="12">
        <v>3.94590272E8</v>
      </c>
      <c r="C11" s="12">
        <v>3.25887011E8</v>
      </c>
      <c r="D11" s="12">
        <v>6.8703261E7</v>
      </c>
      <c r="E11" s="12">
        <v>2405065.0</v>
      </c>
      <c r="F11" s="12">
        <v>1909734.0</v>
      </c>
      <c r="G11" s="12">
        <v>5058548.0</v>
      </c>
      <c r="H11" s="3">
        <f t="shared" ref="H11:I11" si="14">B11/C11</f>
        <v>1.210819268</v>
      </c>
      <c r="I11" s="3">
        <f t="shared" si="14"/>
        <v>4.743399458</v>
      </c>
      <c r="J11" s="5">
        <f t="shared" si="3"/>
        <v>0.3775261201</v>
      </c>
      <c r="K11" s="6">
        <f t="shared" si="4"/>
        <v>0.4754457208</v>
      </c>
      <c r="L11" s="8">
        <f t="shared" si="5"/>
        <v>0.01281974838</v>
      </c>
      <c r="M11" s="8">
        <v>4.92</v>
      </c>
      <c r="N11" s="8">
        <v>4.4</v>
      </c>
      <c r="O11" s="8">
        <v>5.33</v>
      </c>
      <c r="P11" s="8">
        <v>78.0</v>
      </c>
      <c r="Q11" s="13">
        <f t="shared" si="6"/>
        <v>25588907868304</v>
      </c>
      <c r="R11" s="14">
        <v>6.5</v>
      </c>
      <c r="S11" s="15">
        <v>3.7066E8</v>
      </c>
      <c r="T11" s="15">
        <v>1.0</v>
      </c>
    </row>
    <row r="12">
      <c r="A12" s="11">
        <v>42614.0</v>
      </c>
      <c r="B12" s="12">
        <v>4.12723891E8</v>
      </c>
      <c r="C12" s="12">
        <v>3.4266024E8</v>
      </c>
      <c r="D12" s="12">
        <v>7.0063651E7</v>
      </c>
      <c r="E12" s="12">
        <v>2580607.0</v>
      </c>
      <c r="F12" s="12">
        <v>2471955.0</v>
      </c>
      <c r="G12" s="12">
        <v>6194657.0</v>
      </c>
      <c r="H12" s="3">
        <f t="shared" ref="H12:I12" si="15">B12/C12</f>
        <v>1.204469742</v>
      </c>
      <c r="I12" s="3">
        <f t="shared" si="15"/>
        <v>4.890699173</v>
      </c>
      <c r="J12" s="5">
        <f t="shared" si="3"/>
        <v>0.3990463072</v>
      </c>
      <c r="K12" s="6">
        <f t="shared" si="4"/>
        <v>0.4165859385</v>
      </c>
      <c r="L12" s="8">
        <f t="shared" si="5"/>
        <v>0.01500920382</v>
      </c>
      <c r="M12" s="8">
        <v>5.05</v>
      </c>
      <c r="N12" s="8">
        <v>2.9</v>
      </c>
      <c r="O12" s="8">
        <v>5.0</v>
      </c>
      <c r="P12" s="8">
        <v>82.2</v>
      </c>
      <c r="Q12" s="13">
        <f t="shared" si="6"/>
        <v>38373775347649</v>
      </c>
      <c r="R12" s="14">
        <v>7.0</v>
      </c>
      <c r="S12" s="15">
        <v>3.9061E8</v>
      </c>
      <c r="T12" s="15">
        <v>1.0</v>
      </c>
    </row>
    <row r="13">
      <c r="A13" s="11">
        <v>42705.0</v>
      </c>
      <c r="B13" s="12">
        <v>4.28854994E8</v>
      </c>
      <c r="C13" s="12">
        <v>3.56274134E8</v>
      </c>
      <c r="D13" s="12">
        <v>7.258086E7</v>
      </c>
      <c r="E13" s="12">
        <v>2967371.0</v>
      </c>
      <c r="F13" s="12">
        <v>2444222.0</v>
      </c>
      <c r="G13" s="12">
        <v>6290599.0</v>
      </c>
      <c r="H13" s="3">
        <f t="shared" ref="H13:I13" si="16">B13/C13</f>
        <v>1.203721946</v>
      </c>
      <c r="I13" s="3">
        <f t="shared" si="16"/>
        <v>4.908651317</v>
      </c>
      <c r="J13" s="5">
        <f t="shared" si="3"/>
        <v>0.3885515513</v>
      </c>
      <c r="K13" s="6">
        <f t="shared" si="4"/>
        <v>0.4717151737</v>
      </c>
      <c r="L13" s="8">
        <f t="shared" si="5"/>
        <v>0.01466835897</v>
      </c>
      <c r="M13" s="8">
        <v>5.88</v>
      </c>
      <c r="N13" s="8">
        <v>6.2</v>
      </c>
      <c r="O13" s="8">
        <v>4.43</v>
      </c>
      <c r="P13" s="8">
        <v>72.5</v>
      </c>
      <c r="Q13" s="13">
        <f t="shared" si="6"/>
        <v>39571635778801</v>
      </c>
      <c r="R13" s="14">
        <v>7.0</v>
      </c>
      <c r="S13" s="15">
        <v>3.4452E8</v>
      </c>
      <c r="T13" s="15">
        <v>0.8</v>
      </c>
    </row>
    <row r="14">
      <c r="A14" s="11">
        <v>42795.0</v>
      </c>
      <c r="B14" s="12">
        <v>6.40924839E8</v>
      </c>
      <c r="C14" s="12">
        <v>5.38309001E8</v>
      </c>
      <c r="D14" s="12">
        <v>1.02615838E8</v>
      </c>
      <c r="E14" s="12">
        <v>1.3033979E7</v>
      </c>
      <c r="F14" s="12">
        <v>2995745.0</v>
      </c>
      <c r="G14" s="12">
        <v>6697735.0</v>
      </c>
      <c r="H14" s="3">
        <f t="shared" ref="H14:I14" si="17">B14/C14</f>
        <v>1.190626272</v>
      </c>
      <c r="I14" s="3">
        <f t="shared" si="17"/>
        <v>5.245866637</v>
      </c>
      <c r="J14" s="5">
        <f t="shared" si="3"/>
        <v>0.4472773258</v>
      </c>
      <c r="K14" s="6">
        <f t="shared" si="4"/>
        <v>1.946027874</v>
      </c>
      <c r="L14" s="8">
        <f t="shared" si="5"/>
        <v>0.01045010989</v>
      </c>
      <c r="M14" s="8">
        <v>20.27</v>
      </c>
      <c r="N14" s="8">
        <v>7.3</v>
      </c>
      <c r="O14" s="8">
        <v>7.77</v>
      </c>
      <c r="P14" s="8">
        <v>61.0</v>
      </c>
      <c r="Q14" s="13">
        <f t="shared" si="6"/>
        <v>44859654130225</v>
      </c>
      <c r="R14" s="14">
        <v>7.25</v>
      </c>
      <c r="S14" s="15">
        <v>2.8987E8</v>
      </c>
      <c r="T14" s="15">
        <v>0.7</v>
      </c>
    </row>
    <row r="15">
      <c r="A15" s="11">
        <v>42887.0</v>
      </c>
      <c r="B15" s="12">
        <v>6.90280408E8</v>
      </c>
      <c r="C15" s="12">
        <v>5.83145147E8</v>
      </c>
      <c r="D15" s="12">
        <v>1.07135261E8</v>
      </c>
      <c r="E15" s="12">
        <v>5078654.0</v>
      </c>
      <c r="F15" s="12">
        <v>1888333.0</v>
      </c>
      <c r="G15" s="12">
        <v>4842678.0</v>
      </c>
      <c r="H15" s="3">
        <f t="shared" ref="H15:I15" si="18">B15/C15</f>
        <v>1.183719716</v>
      </c>
      <c r="I15" s="3">
        <f t="shared" si="18"/>
        <v>5.443073938</v>
      </c>
      <c r="J15" s="5">
        <f t="shared" si="3"/>
        <v>0.3899356926</v>
      </c>
      <c r="K15" s="6">
        <f t="shared" si="4"/>
        <v>1.04872841</v>
      </c>
      <c r="L15" s="8">
        <f t="shared" si="5"/>
        <v>0.007015522886</v>
      </c>
      <c r="M15" s="8">
        <v>6.01</v>
      </c>
      <c r="N15" s="8">
        <v>4.3</v>
      </c>
      <c r="O15" s="8">
        <v>7.27</v>
      </c>
      <c r="P15" s="8">
        <v>112.8</v>
      </c>
      <c r="Q15" s="13">
        <f t="shared" si="6"/>
        <v>23451530211684</v>
      </c>
      <c r="R15" s="14">
        <v>7.25</v>
      </c>
      <c r="S15" s="15">
        <v>5.3603E8</v>
      </c>
      <c r="T15" s="15">
        <v>0.9</v>
      </c>
    </row>
    <row r="16">
      <c r="A16" s="11">
        <v>42979.0</v>
      </c>
      <c r="B16" s="12">
        <v>7.47970928E8</v>
      </c>
      <c r="C16" s="12">
        <v>6.3789957E8</v>
      </c>
      <c r="D16" s="12">
        <v>1.10071358E8</v>
      </c>
      <c r="E16" s="12">
        <v>3737484.0</v>
      </c>
      <c r="F16" s="12">
        <v>2007473.0</v>
      </c>
      <c r="G16" s="12">
        <v>5799466.0</v>
      </c>
      <c r="H16" s="3">
        <f t="shared" ref="H16:I16" si="19">B16/C16</f>
        <v>1.172552802</v>
      </c>
      <c r="I16" s="3">
        <f t="shared" si="19"/>
        <v>5.795327518</v>
      </c>
      <c r="J16" s="5">
        <f t="shared" si="3"/>
        <v>0.346147904</v>
      </c>
      <c r="K16" s="6">
        <f t="shared" si="4"/>
        <v>0.6444531272</v>
      </c>
      <c r="L16" s="8">
        <f t="shared" si="5"/>
        <v>0.007753598145</v>
      </c>
      <c r="M16" s="8">
        <v>3.91</v>
      </c>
      <c r="N16" s="8">
        <v>6.0</v>
      </c>
      <c r="O16" s="8">
        <v>7.6</v>
      </c>
      <c r="P16" s="8">
        <v>127.0</v>
      </c>
      <c r="Q16" s="13">
        <f t="shared" si="6"/>
        <v>33633805885156</v>
      </c>
      <c r="R16" s="14">
        <v>7.25</v>
      </c>
      <c r="S16" s="15">
        <v>6.035E8</v>
      </c>
      <c r="T16" s="15">
        <v>1.0</v>
      </c>
    </row>
    <row r="17">
      <c r="A17" s="11">
        <v>43070.0</v>
      </c>
      <c r="B17" s="12">
        <v>7.70223988E8</v>
      </c>
      <c r="C17" s="12">
        <v>6.54315435E8</v>
      </c>
      <c r="D17" s="12">
        <v>1.15908553E8</v>
      </c>
      <c r="E17" s="12">
        <v>4427747.0</v>
      </c>
      <c r="F17" s="12">
        <v>2014108.0</v>
      </c>
      <c r="G17" s="12">
        <v>6212330.0</v>
      </c>
      <c r="H17" s="3">
        <f t="shared" ref="H17:I17" si="20">B17/C17</f>
        <v>1.177144764</v>
      </c>
      <c r="I17" s="3">
        <f t="shared" si="20"/>
        <v>5.645100539</v>
      </c>
      <c r="J17" s="5">
        <f t="shared" si="3"/>
        <v>0.3242113667</v>
      </c>
      <c r="K17" s="6">
        <f t="shared" si="4"/>
        <v>0.7127353183</v>
      </c>
      <c r="L17" s="8">
        <f t="shared" si="5"/>
        <v>0.008065614804</v>
      </c>
      <c r="M17" s="8">
        <v>5.37</v>
      </c>
      <c r="N17" s="8">
        <v>8.0</v>
      </c>
      <c r="O17" s="8">
        <v>8.17</v>
      </c>
      <c r="P17" s="8">
        <v>115.1</v>
      </c>
      <c r="Q17" s="13">
        <f t="shared" si="6"/>
        <v>38593044028900</v>
      </c>
      <c r="R17" s="14">
        <v>7.25</v>
      </c>
      <c r="S17" s="15">
        <v>5.4696E8</v>
      </c>
      <c r="T17" s="15">
        <v>0.9</v>
      </c>
    </row>
    <row r="18">
      <c r="A18" s="11">
        <v>43160.0</v>
      </c>
      <c r="B18" s="12">
        <v>8.22362468E8</v>
      </c>
      <c r="C18" s="12">
        <v>7.04070277E8</v>
      </c>
      <c r="D18" s="12">
        <v>1.18292191E8</v>
      </c>
      <c r="E18" s="12">
        <v>5947375.0</v>
      </c>
      <c r="F18" s="12">
        <v>1288389.0</v>
      </c>
      <c r="G18" s="12">
        <v>5792567.0</v>
      </c>
      <c r="H18" s="3">
        <f t="shared" ref="H18:I18" si="21">B18/C18</f>
        <v>1.168011909</v>
      </c>
      <c r="I18" s="3">
        <f t="shared" si="21"/>
        <v>5.951959052</v>
      </c>
      <c r="J18" s="5">
        <f t="shared" si="3"/>
        <v>0.2224210786</v>
      </c>
      <c r="K18" s="6">
        <f t="shared" si="4"/>
        <v>1.026725284</v>
      </c>
      <c r="L18" s="8">
        <f t="shared" si="5"/>
        <v>0.007043812462</v>
      </c>
      <c r="M18" s="8">
        <v>5.18</v>
      </c>
      <c r="N18" s="8">
        <v>3.7</v>
      </c>
      <c r="O18" s="8">
        <v>3.8</v>
      </c>
      <c r="P18" s="8">
        <v>118.0</v>
      </c>
      <c r="Q18" s="13">
        <f t="shared" si="6"/>
        <v>33553832449489</v>
      </c>
      <c r="R18" s="14">
        <v>7.25</v>
      </c>
      <c r="S18" s="15">
        <v>5.6074E8</v>
      </c>
      <c r="T18" s="15">
        <v>0.8</v>
      </c>
    </row>
    <row r="19">
      <c r="A19" s="11">
        <v>43252.0</v>
      </c>
      <c r="B19" s="12">
        <v>8.32268808E8</v>
      </c>
      <c r="C19" s="12">
        <v>7.08934242E8</v>
      </c>
      <c r="D19" s="12">
        <v>1.23334566E8</v>
      </c>
      <c r="E19" s="12">
        <v>4324630.0</v>
      </c>
      <c r="F19" s="12">
        <v>1575735.0</v>
      </c>
      <c r="G19" s="12">
        <v>4978017.0</v>
      </c>
      <c r="H19" s="3">
        <f t="shared" ref="H19:I19" si="22">B19/C19</f>
        <v>1.1739718</v>
      </c>
      <c r="I19" s="3">
        <f t="shared" si="22"/>
        <v>5.748058026</v>
      </c>
      <c r="J19" s="5">
        <f t="shared" si="3"/>
        <v>0.316538694</v>
      </c>
      <c r="K19" s="6">
        <f t="shared" si="4"/>
        <v>0.8687455266</v>
      </c>
      <c r="L19" s="8">
        <f t="shared" si="5"/>
        <v>0.005981261045</v>
      </c>
      <c r="M19" s="8">
        <v>6.43</v>
      </c>
      <c r="N19" s="8">
        <v>5.2</v>
      </c>
      <c r="O19" s="8">
        <v>1.0</v>
      </c>
      <c r="P19" s="8">
        <v>98.5</v>
      </c>
      <c r="Q19" s="13">
        <f t="shared" si="6"/>
        <v>24780653252289</v>
      </c>
      <c r="R19" s="14">
        <v>7.25</v>
      </c>
      <c r="S19" s="15">
        <v>4.6807E8</v>
      </c>
      <c r="T19" s="15">
        <v>0.7</v>
      </c>
    </row>
    <row r="20">
      <c r="A20" s="11">
        <v>43344.0</v>
      </c>
      <c r="B20" s="12">
        <v>9.28455208E8</v>
      </c>
      <c r="C20" s="12">
        <v>7.98485355E8</v>
      </c>
      <c r="D20" s="12">
        <v>1.29969853E8</v>
      </c>
      <c r="E20" s="12">
        <v>3190081.0</v>
      </c>
      <c r="F20" s="12">
        <v>1631793.0</v>
      </c>
      <c r="G20" s="12">
        <v>5733691.0</v>
      </c>
      <c r="H20" s="3">
        <f t="shared" ref="H20:I20" si="23">B20/C20</f>
        <v>1.162770491</v>
      </c>
      <c r="I20" s="3">
        <f t="shared" si="23"/>
        <v>6.143619744</v>
      </c>
      <c r="J20" s="5">
        <f t="shared" si="3"/>
        <v>0.2845973039</v>
      </c>
      <c r="K20" s="6">
        <f t="shared" si="4"/>
        <v>0.556374768</v>
      </c>
      <c r="L20" s="8">
        <f t="shared" si="5"/>
        <v>0.006175517085</v>
      </c>
      <c r="M20" s="8">
        <v>2.77</v>
      </c>
      <c r="N20" s="8">
        <v>4.4</v>
      </c>
      <c r="O20" s="8">
        <v>2.07</v>
      </c>
      <c r="P20" s="8">
        <v>86.1</v>
      </c>
      <c r="Q20" s="13">
        <f t="shared" si="6"/>
        <v>32875212483481</v>
      </c>
      <c r="R20" s="14">
        <v>7.25</v>
      </c>
      <c r="S20" s="15">
        <v>4.0915E8</v>
      </c>
      <c r="T20" s="15">
        <v>0.6</v>
      </c>
    </row>
    <row r="21" ht="15.75" customHeight="1">
      <c r="A21" s="11">
        <v>43435.0</v>
      </c>
      <c r="B21" s="12">
        <v>1.008279948E9</v>
      </c>
      <c r="C21" s="12">
        <v>8.69691023E8</v>
      </c>
      <c r="D21" s="12">
        <v>1.38588925E8</v>
      </c>
      <c r="E21" s="12">
        <v>3221334.0</v>
      </c>
      <c r="F21" s="12">
        <v>2133132.0</v>
      </c>
      <c r="G21" s="12">
        <v>6411129.0</v>
      </c>
      <c r="H21" s="3">
        <f t="shared" ref="H21:I21" si="24">B21/C21</f>
        <v>1.159354209</v>
      </c>
      <c r="I21" s="3">
        <f t="shared" si="24"/>
        <v>6.275328443</v>
      </c>
      <c r="J21" s="5">
        <f t="shared" si="3"/>
        <v>0.3327233004</v>
      </c>
      <c r="K21" s="6">
        <f t="shared" si="4"/>
        <v>0.5024597072</v>
      </c>
      <c r="L21" s="8">
        <f t="shared" si="5"/>
        <v>0.006358481107</v>
      </c>
      <c r="M21" s="8">
        <v>2.28</v>
      </c>
      <c r="N21" s="8">
        <v>-3.5</v>
      </c>
      <c r="O21" s="8">
        <v>2.27</v>
      </c>
      <c r="P21" s="8">
        <v>89.9</v>
      </c>
      <c r="Q21" s="13">
        <f t="shared" si="6"/>
        <v>41102575054641</v>
      </c>
      <c r="R21" s="14">
        <v>8.0</v>
      </c>
      <c r="S21" s="15">
        <v>4.272E8</v>
      </c>
      <c r="T21" s="15">
        <v>0.5</v>
      </c>
    </row>
    <row r="22" ht="15.75" customHeight="1">
      <c r="A22" s="11">
        <v>43525.0</v>
      </c>
      <c r="B22" s="12">
        <v>1.043914844E9</v>
      </c>
      <c r="C22" s="12">
        <v>8.91980592E8</v>
      </c>
      <c r="D22" s="12">
        <v>1.51934252E8</v>
      </c>
      <c r="E22" s="12">
        <v>8881927.0</v>
      </c>
      <c r="F22" s="12">
        <v>2404967.0</v>
      </c>
      <c r="G22" s="12">
        <v>7732612.0</v>
      </c>
      <c r="H22" s="3">
        <f t="shared" ref="H22:I22" si="25">B22/C22</f>
        <v>1.170333585</v>
      </c>
      <c r="I22" s="3">
        <f t="shared" si="25"/>
        <v>5.870832813</v>
      </c>
      <c r="J22" s="5">
        <f t="shared" si="3"/>
        <v>0.3110161224</v>
      </c>
      <c r="K22" s="6">
        <f t="shared" si="4"/>
        <v>1.148632183</v>
      </c>
      <c r="L22" s="8">
        <f t="shared" si="5"/>
        <v>0.007407320668</v>
      </c>
      <c r="M22" s="8">
        <v>12.24</v>
      </c>
      <c r="N22" s="8">
        <v>-0.1</v>
      </c>
      <c r="O22" s="8">
        <v>0.5</v>
      </c>
      <c r="P22" s="8">
        <v>88.9</v>
      </c>
      <c r="Q22" s="13">
        <f t="shared" si="6"/>
        <v>59793288342544</v>
      </c>
      <c r="R22" s="14">
        <v>8.0</v>
      </c>
      <c r="S22" s="15">
        <v>4.2245E8</v>
      </c>
      <c r="T22" s="15">
        <v>0.5</v>
      </c>
    </row>
    <row r="23" ht="15.75" customHeight="1">
      <c r="A23" s="11">
        <v>43617.0</v>
      </c>
      <c r="B23" s="12">
        <v>1.144855978E9</v>
      </c>
      <c r="C23" s="12">
        <v>9.55084702E8</v>
      </c>
      <c r="D23" s="12">
        <v>1.89771276E8</v>
      </c>
      <c r="E23" s="12">
        <v>9955273.0</v>
      </c>
      <c r="F23" s="12">
        <v>1637239.0</v>
      </c>
      <c r="G23" s="12">
        <v>5106338.0</v>
      </c>
      <c r="H23" s="3">
        <f t="shared" ref="H23:I23" si="26">B23/C23</f>
        <v>1.198695755</v>
      </c>
      <c r="I23" s="3">
        <f t="shared" si="26"/>
        <v>5.032820151</v>
      </c>
      <c r="J23" s="5">
        <f t="shared" si="3"/>
        <v>0.320628795</v>
      </c>
      <c r="K23" s="6">
        <f t="shared" si="4"/>
        <v>1.949591468</v>
      </c>
      <c r="L23" s="8">
        <f t="shared" si="5"/>
        <v>0.004460244868</v>
      </c>
      <c r="M23" s="8">
        <v>15.8</v>
      </c>
      <c r="N23" s="8">
        <v>-1.8</v>
      </c>
      <c r="O23" s="8">
        <v>3.07</v>
      </c>
      <c r="P23" s="8">
        <v>91.0</v>
      </c>
      <c r="Q23" s="13">
        <f t="shared" si="6"/>
        <v>26074687770244</v>
      </c>
      <c r="R23" s="14">
        <v>7.5</v>
      </c>
      <c r="S23" s="15">
        <v>4.3243E8</v>
      </c>
      <c r="T23" s="15">
        <v>0.5</v>
      </c>
    </row>
    <row r="24" ht="15.75" customHeight="1">
      <c r="A24" s="11">
        <v>43709.0</v>
      </c>
      <c r="B24" s="12">
        <v>1.221164176E9</v>
      </c>
      <c r="C24" s="12">
        <v>1.023478776E9</v>
      </c>
      <c r="D24" s="12">
        <v>1.97685399E8</v>
      </c>
      <c r="E24" s="12">
        <v>2863208.0</v>
      </c>
      <c r="F24" s="12">
        <v>1969665.0</v>
      </c>
      <c r="G24" s="12">
        <v>6449678.0</v>
      </c>
      <c r="H24" s="3">
        <f t="shared" ref="H24:I24" si="27">B24/C24</f>
        <v>1.193150464</v>
      </c>
      <c r="I24" s="3">
        <f t="shared" si="27"/>
        <v>5.177310925</v>
      </c>
      <c r="J24" s="5">
        <f t="shared" si="3"/>
        <v>0.3053896644</v>
      </c>
      <c r="K24" s="6">
        <f t="shared" si="4"/>
        <v>0.4439303792</v>
      </c>
      <c r="L24" s="8">
        <f t="shared" si="5"/>
        <v>0.005281581401</v>
      </c>
      <c r="M24" s="8">
        <v>0.96</v>
      </c>
      <c r="N24" s="8">
        <v>1.2</v>
      </c>
      <c r="O24" s="8">
        <v>3.53</v>
      </c>
      <c r="P24" s="8">
        <v>124.1</v>
      </c>
      <c r="Q24" s="13">
        <f t="shared" si="6"/>
        <v>41598346303684</v>
      </c>
      <c r="R24" s="14">
        <v>7.0</v>
      </c>
      <c r="S24" s="15">
        <v>5.8972E8</v>
      </c>
      <c r="T24" s="15">
        <v>0.6</v>
      </c>
    </row>
    <row r="25" ht="15.75" customHeight="1">
      <c r="A25" s="11">
        <v>43800.0</v>
      </c>
      <c r="B25" s="12">
        <v>1.278447033E9</v>
      </c>
      <c r="C25" s="12">
        <v>1.071060816E9</v>
      </c>
      <c r="D25" s="12">
        <v>2.07386218E8</v>
      </c>
      <c r="E25" s="12">
        <v>3410080.0</v>
      </c>
      <c r="F25" s="12">
        <v>2258593.0</v>
      </c>
      <c r="G25" s="12">
        <v>6554993.0</v>
      </c>
      <c r="H25" s="3">
        <f t="shared" ref="H25:I25" si="28">B25/C25</f>
        <v>1.193626929</v>
      </c>
      <c r="I25" s="3">
        <f t="shared" si="28"/>
        <v>5.164570849</v>
      </c>
      <c r="J25" s="5">
        <f t="shared" si="3"/>
        <v>0.3445607036</v>
      </c>
      <c r="K25" s="6">
        <f t="shared" si="4"/>
        <v>0.5202263374</v>
      </c>
      <c r="L25" s="8">
        <f t="shared" si="5"/>
        <v>0.005127309017</v>
      </c>
      <c r="M25" s="8">
        <v>3.09</v>
      </c>
      <c r="N25" s="8">
        <v>-0.3</v>
      </c>
      <c r="O25" s="8">
        <v>5.3</v>
      </c>
      <c r="P25" s="8">
        <v>177.5</v>
      </c>
      <c r="Q25" s="13">
        <f t="shared" si="6"/>
        <v>42967933230049</v>
      </c>
      <c r="R25" s="14">
        <v>7.0</v>
      </c>
      <c r="S25" s="15">
        <v>8.4348E8</v>
      </c>
      <c r="T25" s="15">
        <v>1.0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9.29"/>
    <col customWidth="1" min="3" max="3" width="11.86"/>
    <col customWidth="1" min="4" max="4" width="10.0"/>
    <col customWidth="1" min="5" max="5" width="14.29"/>
    <col customWidth="1" min="6" max="6" width="14.71"/>
    <col customWidth="1" min="7" max="7" width="8.71"/>
    <col customWidth="1" min="8" max="8" width="20.57"/>
    <col customWidth="1" min="9" max="9" width="11.29"/>
    <col customWidth="1" min="10" max="26" width="8.71"/>
  </cols>
  <sheetData>
    <row r="1">
      <c r="A1" s="1" t="s">
        <v>0</v>
      </c>
      <c r="B1" s="5" t="s">
        <v>9</v>
      </c>
      <c r="C1" s="8" t="s">
        <v>14</v>
      </c>
      <c r="D1" s="10" t="s">
        <v>18</v>
      </c>
      <c r="E1" s="8" t="s">
        <v>15</v>
      </c>
      <c r="F1" s="17" t="s">
        <v>20</v>
      </c>
      <c r="G1" s="17" t="s">
        <v>21</v>
      </c>
      <c r="H1" s="17" t="s">
        <v>22</v>
      </c>
      <c r="I1" s="17" t="s">
        <v>23</v>
      </c>
    </row>
    <row r="2">
      <c r="A2" s="11">
        <v>41699.0</v>
      </c>
      <c r="B2" s="5">
        <v>0.568452935672327</v>
      </c>
      <c r="C2" s="8">
        <v>4.27</v>
      </c>
      <c r="D2" s="15">
        <v>4.3623E8</v>
      </c>
      <c r="E2" s="8">
        <v>75.0</v>
      </c>
      <c r="F2" s="17">
        <f t="shared" ref="F2:F25" si="1">LN(E2)</f>
        <v>4.317488114</v>
      </c>
      <c r="G2" s="17">
        <f t="shared" ref="G2:G25" si="2"> 3.984162 +0.0000000017389*D2 -0.019591*C2 -0.467714*B2</f>
        <v>4.393195381</v>
      </c>
      <c r="H2" s="17">
        <f t="shared" ref="H2:H25" si="3">EXP(G2)</f>
        <v>80.89850794</v>
      </c>
      <c r="I2" s="18">
        <f t="shared" ref="I2:I25" si="4">E2-H2</f>
        <v>-5.898507941</v>
      </c>
    </row>
    <row r="3">
      <c r="A3" s="16">
        <v>41791.0</v>
      </c>
      <c r="B3" s="5">
        <v>0.27385823703104156</v>
      </c>
      <c r="C3" s="8">
        <v>3.87</v>
      </c>
      <c r="D3" s="15">
        <v>4.3623E8</v>
      </c>
      <c r="E3" s="8">
        <v>91.8</v>
      </c>
      <c r="F3" s="17">
        <f t="shared" si="1"/>
        <v>4.519612298</v>
      </c>
      <c r="G3" s="17">
        <f t="shared" si="2"/>
        <v>4.538817846</v>
      </c>
      <c r="H3" s="17">
        <f t="shared" si="3"/>
        <v>93.58010856</v>
      </c>
      <c r="I3" s="18">
        <f t="shared" si="4"/>
        <v>-1.780108561</v>
      </c>
    </row>
    <row r="4">
      <c r="A4" s="11">
        <v>41883.0</v>
      </c>
      <c r="B4" s="5">
        <v>0.31288455997726583</v>
      </c>
      <c r="C4" s="8">
        <v>3.53</v>
      </c>
      <c r="D4" s="15">
        <v>4.0582E8</v>
      </c>
      <c r="E4" s="8">
        <v>85.4</v>
      </c>
      <c r="F4" s="17">
        <f t="shared" si="1"/>
        <v>4.447346101</v>
      </c>
      <c r="G4" s="17">
        <f t="shared" si="2"/>
        <v>4.474345679</v>
      </c>
      <c r="H4" s="17">
        <f t="shared" si="3"/>
        <v>87.73717334</v>
      </c>
      <c r="I4" s="18">
        <f t="shared" si="4"/>
        <v>-2.337173341</v>
      </c>
    </row>
    <row r="5">
      <c r="A5" s="11">
        <v>41974.0</v>
      </c>
      <c r="B5" s="5">
        <v>0.31551137622956615</v>
      </c>
      <c r="C5" s="8">
        <v>2.4</v>
      </c>
      <c r="D5" s="15">
        <v>4.1818E8</v>
      </c>
      <c r="E5" s="8">
        <v>88.0</v>
      </c>
      <c r="F5" s="17">
        <f t="shared" si="1"/>
        <v>4.477336814</v>
      </c>
      <c r="G5" s="17">
        <f t="shared" si="2"/>
        <v>4.516747714</v>
      </c>
      <c r="H5" s="17">
        <f t="shared" si="3"/>
        <v>91.53740753</v>
      </c>
      <c r="I5" s="18">
        <f t="shared" si="4"/>
        <v>-3.537407528</v>
      </c>
    </row>
    <row r="6">
      <c r="A6" s="11">
        <v>42064.0</v>
      </c>
      <c r="B6" s="5">
        <v>0.4027600974105649</v>
      </c>
      <c r="C6" s="8">
        <v>6.47</v>
      </c>
      <c r="D6" s="15">
        <v>3.64E8</v>
      </c>
      <c r="E6" s="8">
        <v>76.6</v>
      </c>
      <c r="F6" s="17">
        <f t="shared" si="1"/>
        <v>4.338597077</v>
      </c>
      <c r="G6" s="17">
        <f t="shared" si="2"/>
        <v>4.301991294</v>
      </c>
      <c r="H6" s="17">
        <f t="shared" si="3"/>
        <v>73.84669786</v>
      </c>
      <c r="I6" s="18">
        <f t="shared" si="4"/>
        <v>2.753302142</v>
      </c>
    </row>
    <row r="7">
      <c r="A7" s="16">
        <v>42156.0</v>
      </c>
      <c r="B7" s="5">
        <v>0.35669916736737434</v>
      </c>
      <c r="C7" s="8">
        <v>2.83</v>
      </c>
      <c r="D7" s="15">
        <v>4.7377E8</v>
      </c>
      <c r="E7" s="8">
        <v>99.7</v>
      </c>
      <c r="F7" s="17">
        <f t="shared" si="1"/>
        <v>4.602165677</v>
      </c>
      <c r="G7" s="17">
        <f t="shared" si="2"/>
        <v>4.585724929</v>
      </c>
      <c r="H7" s="17">
        <f t="shared" si="3"/>
        <v>98.07425822</v>
      </c>
      <c r="I7" s="18">
        <f t="shared" si="4"/>
        <v>1.625741784</v>
      </c>
    </row>
    <row r="8">
      <c r="A8" s="11">
        <v>42248.0</v>
      </c>
      <c r="B8" s="5">
        <v>0.3090691323811965</v>
      </c>
      <c r="C8" s="8">
        <v>1.87</v>
      </c>
      <c r="D8" s="15">
        <v>4.5904E8</v>
      </c>
      <c r="E8" s="8">
        <v>96.6</v>
      </c>
      <c r="F8" s="17">
        <f t="shared" si="1"/>
        <v>4.570578741</v>
      </c>
      <c r="G8" s="17">
        <f t="shared" si="2"/>
        <v>4.601195526</v>
      </c>
      <c r="H8" s="17">
        <f t="shared" si="3"/>
        <v>99.60332283</v>
      </c>
      <c r="I8" s="18">
        <f t="shared" si="4"/>
        <v>-3.003322834</v>
      </c>
    </row>
    <row r="9">
      <c r="A9" s="11">
        <v>42339.0</v>
      </c>
      <c r="B9" s="5">
        <v>0.31557051283728155</v>
      </c>
      <c r="C9" s="8">
        <v>4.0</v>
      </c>
      <c r="D9" s="15">
        <v>4.4669E8</v>
      </c>
      <c r="E9" s="8">
        <v>94.0</v>
      </c>
      <c r="F9" s="17">
        <f t="shared" si="1"/>
        <v>4.543294782</v>
      </c>
      <c r="G9" s="17">
        <f t="shared" si="2"/>
        <v>4.534950494</v>
      </c>
      <c r="H9" s="17">
        <f t="shared" si="3"/>
        <v>93.21890031</v>
      </c>
      <c r="I9" s="18">
        <f t="shared" si="4"/>
        <v>0.7810996899</v>
      </c>
    </row>
    <row r="10">
      <c r="A10" s="11">
        <v>42430.0</v>
      </c>
      <c r="B10" s="5">
        <v>0.4986231668856628</v>
      </c>
      <c r="C10" s="8">
        <v>1.07</v>
      </c>
      <c r="D10" s="15">
        <v>3.4214E8</v>
      </c>
      <c r="E10" s="8">
        <v>72.0</v>
      </c>
      <c r="F10" s="17">
        <f t="shared" si="1"/>
        <v>4.276666119</v>
      </c>
      <c r="G10" s="17">
        <f t="shared" si="2"/>
        <v>4.32493384</v>
      </c>
      <c r="H10" s="17">
        <f t="shared" si="3"/>
        <v>75.56051362</v>
      </c>
      <c r="I10" s="18">
        <f t="shared" si="4"/>
        <v>-3.56051362</v>
      </c>
    </row>
    <row r="11">
      <c r="A11" s="16">
        <v>42522.0</v>
      </c>
      <c r="B11" s="5">
        <v>0.3775261201435669</v>
      </c>
      <c r="C11" s="8">
        <v>5.33</v>
      </c>
      <c r="D11" s="15">
        <v>3.7066E8</v>
      </c>
      <c r="E11" s="8">
        <v>78.0</v>
      </c>
      <c r="F11" s="17">
        <f t="shared" si="1"/>
        <v>4.356708827</v>
      </c>
      <c r="G11" s="17">
        <f t="shared" si="2"/>
        <v>4.347708392</v>
      </c>
      <c r="H11" s="17">
        <f t="shared" si="3"/>
        <v>77.30111596</v>
      </c>
      <c r="I11" s="18">
        <f t="shared" si="4"/>
        <v>0.6988840389</v>
      </c>
    </row>
    <row r="12">
      <c r="A12" s="11">
        <v>42614.0</v>
      </c>
      <c r="B12" s="5">
        <v>0.3990463071643838</v>
      </c>
      <c r="C12" s="8">
        <v>5.0</v>
      </c>
      <c r="D12" s="15">
        <v>3.9061E8</v>
      </c>
      <c r="E12" s="8">
        <v>82.2</v>
      </c>
      <c r="F12" s="17">
        <f t="shared" si="1"/>
        <v>4.409155302</v>
      </c>
      <c r="G12" s="17">
        <f t="shared" si="2"/>
        <v>4.378799184</v>
      </c>
      <c r="H12" s="17">
        <f t="shared" si="3"/>
        <v>79.74222019</v>
      </c>
      <c r="I12" s="18">
        <f t="shared" si="4"/>
        <v>2.457779805</v>
      </c>
    </row>
    <row r="13">
      <c r="A13" s="11">
        <v>42705.0</v>
      </c>
      <c r="B13" s="5">
        <v>0.38855155129106145</v>
      </c>
      <c r="C13" s="8">
        <v>4.43</v>
      </c>
      <c r="D13" s="15">
        <v>3.4452E8</v>
      </c>
      <c r="E13" s="8">
        <v>72.5</v>
      </c>
      <c r="F13" s="17">
        <f t="shared" si="1"/>
        <v>4.283586562</v>
      </c>
      <c r="G13" s="17">
        <f t="shared" si="2"/>
        <v>4.314728698</v>
      </c>
      <c r="H13" s="17">
        <f t="shared" si="3"/>
        <v>74.79332909</v>
      </c>
      <c r="I13" s="18">
        <f t="shared" si="4"/>
        <v>-2.293329092</v>
      </c>
    </row>
    <row r="14">
      <c r="A14" s="11">
        <v>42795.0</v>
      </c>
      <c r="B14" s="5">
        <v>0.44727732584224367</v>
      </c>
      <c r="C14" s="8">
        <v>7.77</v>
      </c>
      <c r="D14" s="15">
        <v>2.8987E8</v>
      </c>
      <c r="E14" s="8">
        <v>61.0</v>
      </c>
      <c r="F14" s="17">
        <f t="shared" si="1"/>
        <v>4.110873864</v>
      </c>
      <c r="G14" s="17">
        <f t="shared" si="2"/>
        <v>4.126797006</v>
      </c>
      <c r="H14" s="17">
        <f t="shared" si="3"/>
        <v>61.97908602</v>
      </c>
      <c r="I14" s="18">
        <f t="shared" si="4"/>
        <v>-0.9790860163</v>
      </c>
    </row>
    <row r="15">
      <c r="A15" s="11">
        <v>42887.0</v>
      </c>
      <c r="B15" s="5">
        <v>0.3899356926064463</v>
      </c>
      <c r="C15" s="8">
        <v>7.27</v>
      </c>
      <c r="D15" s="15">
        <v>5.3603E8</v>
      </c>
      <c r="E15" s="8">
        <v>112.8</v>
      </c>
      <c r="F15" s="17">
        <f t="shared" si="1"/>
        <v>4.725616339</v>
      </c>
      <c r="G15" s="17">
        <f t="shared" si="2"/>
        <v>4.591459614</v>
      </c>
      <c r="H15" s="17">
        <f t="shared" si="3"/>
        <v>98.63829903</v>
      </c>
      <c r="I15" s="18">
        <f t="shared" si="4"/>
        <v>14.16170097</v>
      </c>
    </row>
    <row r="16">
      <c r="A16" s="11">
        <v>42979.0</v>
      </c>
      <c r="B16" s="5">
        <v>0.34614790396219236</v>
      </c>
      <c r="C16" s="8">
        <v>7.6</v>
      </c>
      <c r="D16" s="15">
        <v>6.035E8</v>
      </c>
      <c r="E16" s="8">
        <v>127.0</v>
      </c>
      <c r="F16" s="17">
        <f t="shared" si="1"/>
        <v>4.844187086</v>
      </c>
      <c r="G16" s="17">
        <f t="shared" si="2"/>
        <v>4.722798329</v>
      </c>
      <c r="H16" s="17">
        <f t="shared" si="3"/>
        <v>112.482576</v>
      </c>
      <c r="I16" s="18">
        <f t="shared" si="4"/>
        <v>14.51742405</v>
      </c>
    </row>
    <row r="17">
      <c r="A17" s="11">
        <v>43070.0</v>
      </c>
      <c r="B17" s="5">
        <v>0.32421136674967366</v>
      </c>
      <c r="C17" s="8">
        <v>8.17</v>
      </c>
      <c r="D17" s="15">
        <v>5.4696E8</v>
      </c>
      <c r="E17" s="8">
        <v>115.1</v>
      </c>
      <c r="F17" s="17">
        <f t="shared" si="1"/>
        <v>4.745801316</v>
      </c>
      <c r="G17" s="17">
        <f t="shared" si="2"/>
        <v>4.623574079</v>
      </c>
      <c r="H17" s="17">
        <f t="shared" si="3"/>
        <v>101.8574288</v>
      </c>
      <c r="I17" s="18">
        <f t="shared" si="4"/>
        <v>13.24257118</v>
      </c>
    </row>
    <row r="18">
      <c r="A18" s="11">
        <v>43160.0</v>
      </c>
      <c r="B18" s="5">
        <v>0.22242107859952245</v>
      </c>
      <c r="C18" s="8">
        <v>3.8</v>
      </c>
      <c r="D18" s="15">
        <v>5.6074E8</v>
      </c>
      <c r="E18" s="8">
        <v>118.0</v>
      </c>
      <c r="F18" s="17">
        <f t="shared" si="1"/>
        <v>4.770684624</v>
      </c>
      <c r="G18" s="17">
        <f t="shared" si="2"/>
        <v>4.780757534</v>
      </c>
      <c r="H18" s="17">
        <f t="shared" si="3"/>
        <v>119.1946098</v>
      </c>
      <c r="I18" s="18">
        <f t="shared" si="4"/>
        <v>-1.19460978</v>
      </c>
    </row>
    <row r="19">
      <c r="A19" s="11">
        <v>43252.0</v>
      </c>
      <c r="B19" s="5">
        <v>0.31653869402213775</v>
      </c>
      <c r="C19" s="8">
        <v>1.0</v>
      </c>
      <c r="D19" s="15">
        <v>4.6807E8</v>
      </c>
      <c r="E19" s="8">
        <v>98.5</v>
      </c>
      <c r="F19" s="17">
        <f t="shared" si="1"/>
        <v>4.590056548</v>
      </c>
      <c r="G19" s="17">
        <f t="shared" si="2"/>
        <v>4.630448344</v>
      </c>
      <c r="H19" s="17">
        <f t="shared" si="3"/>
        <v>102.560036</v>
      </c>
      <c r="I19" s="18">
        <f t="shared" si="4"/>
        <v>-4.060036008</v>
      </c>
    </row>
    <row r="20">
      <c r="A20" s="11">
        <v>43344.0</v>
      </c>
      <c r="B20" s="5">
        <v>0.28459730390075083</v>
      </c>
      <c r="C20" s="8">
        <v>2.07</v>
      </c>
      <c r="D20" s="15">
        <v>4.0915E8</v>
      </c>
      <c r="E20" s="8">
        <v>86.1</v>
      </c>
      <c r="F20" s="17">
        <f t="shared" si="1"/>
        <v>4.455509411</v>
      </c>
      <c r="G20" s="17">
        <f t="shared" si="2"/>
        <v>4.521969422</v>
      </c>
      <c r="H20" s="17">
        <f t="shared" si="3"/>
        <v>92.0166392</v>
      </c>
      <c r="I20" s="18">
        <f t="shared" si="4"/>
        <v>-5.916639204</v>
      </c>
    </row>
    <row r="21" ht="15.75" customHeight="1">
      <c r="A21" s="11">
        <v>43435.0</v>
      </c>
      <c r="B21" s="5">
        <v>0.33272330037346</v>
      </c>
      <c r="C21" s="8">
        <v>2.27</v>
      </c>
      <c r="D21" s="15">
        <v>4.272E8</v>
      </c>
      <c r="E21" s="8">
        <v>89.9</v>
      </c>
      <c r="F21" s="17">
        <f t="shared" si="1"/>
        <v>4.498697941</v>
      </c>
      <c r="G21" s="17">
        <f t="shared" si="2"/>
        <v>4.526929164</v>
      </c>
      <c r="H21" s="17">
        <f t="shared" si="3"/>
        <v>92.47415169</v>
      </c>
      <c r="I21" s="18">
        <f t="shared" si="4"/>
        <v>-2.574151691</v>
      </c>
    </row>
    <row r="22" ht="15.75" customHeight="1">
      <c r="A22" s="11">
        <v>43525.0</v>
      </c>
      <c r="B22" s="5">
        <v>0.31101612236589654</v>
      </c>
      <c r="C22" s="8">
        <v>0.5</v>
      </c>
      <c r="D22" s="15">
        <v>4.2245E8</v>
      </c>
      <c r="E22" s="8">
        <v>88.9</v>
      </c>
      <c r="F22" s="17">
        <f t="shared" si="1"/>
        <v>4.487512143</v>
      </c>
      <c r="G22" s="17">
        <f t="shared" si="2"/>
        <v>4.56349821</v>
      </c>
      <c r="H22" s="17">
        <f t="shared" si="3"/>
        <v>95.91843648</v>
      </c>
      <c r="I22" s="18">
        <f t="shared" si="4"/>
        <v>-7.018436481</v>
      </c>
    </row>
    <row r="23" ht="15.75" customHeight="1">
      <c r="A23" s="11">
        <v>43617.0</v>
      </c>
      <c r="B23" s="5">
        <v>0.3206287950386363</v>
      </c>
      <c r="C23" s="8">
        <v>3.07</v>
      </c>
      <c r="D23" s="15">
        <v>4.3243E8</v>
      </c>
      <c r="E23" s="8">
        <v>91.0</v>
      </c>
      <c r="F23" s="17">
        <f t="shared" si="1"/>
        <v>4.510859507</v>
      </c>
      <c r="G23" s="17">
        <f t="shared" si="2"/>
        <v>4.526007581</v>
      </c>
      <c r="H23" s="17">
        <f t="shared" si="3"/>
        <v>92.38896829</v>
      </c>
      <c r="I23" s="18">
        <f t="shared" si="4"/>
        <v>-1.388968294</v>
      </c>
    </row>
    <row r="24" ht="15.75" customHeight="1">
      <c r="A24" s="11">
        <v>43709.0</v>
      </c>
      <c r="B24" s="5">
        <v>0.30538966441425447</v>
      </c>
      <c r="C24" s="8">
        <v>3.53</v>
      </c>
      <c r="D24" s="15">
        <v>5.8972E8</v>
      </c>
      <c r="E24" s="8">
        <v>124.1</v>
      </c>
      <c r="F24" s="17">
        <f t="shared" si="1"/>
        <v>4.821087692</v>
      </c>
      <c r="G24" s="17">
        <f t="shared" si="2"/>
        <v>4.797634856</v>
      </c>
      <c r="H24" s="17">
        <f t="shared" si="3"/>
        <v>121.2233675</v>
      </c>
      <c r="I24" s="18">
        <f t="shared" si="4"/>
        <v>2.876632465</v>
      </c>
    </row>
    <row r="25" ht="15.75" customHeight="1">
      <c r="A25" s="11">
        <v>43800.0</v>
      </c>
      <c r="B25" s="5">
        <v>0.34456070357359647</v>
      </c>
      <c r="C25" s="8">
        <v>5.3</v>
      </c>
      <c r="D25" s="15">
        <v>8.4348E8</v>
      </c>
      <c r="E25" s="8">
        <v>177.5</v>
      </c>
      <c r="F25" s="17">
        <f t="shared" si="1"/>
        <v>5.178970609</v>
      </c>
      <c r="G25" s="17">
        <f t="shared" si="2"/>
        <v>5.185901207</v>
      </c>
      <c r="H25" s="17">
        <f t="shared" si="3"/>
        <v>178.734454</v>
      </c>
      <c r="I25" s="18">
        <f t="shared" si="4"/>
        <v>-1.234453987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2024-08-19T05:35:07Z</dcterms:created>
  <dc:creator>HP</dc:creator>
</cp:coreProperties>
</file>