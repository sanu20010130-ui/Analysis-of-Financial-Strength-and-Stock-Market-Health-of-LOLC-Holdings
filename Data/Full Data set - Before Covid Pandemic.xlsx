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60" windowHeight="12220"/>
  </bookViews>
  <sheets>
    <sheet name="Before covid group data set" sheetId="1" r:id="rId1"/>
  </sheets>
  <externalReferences>
    <externalReference r:id="rId2"/>
  </externalReferences>
  <definedNames>
    <definedName name="_xlchart.v1.3">[1]Sheet1!$C$2:$C$19</definedName>
    <definedName name="_xlchart.v1.4">[1]Sheet1!$B$1</definedName>
    <definedName name="_xlchart.v1.8">[1]Sheet1!$B$1</definedName>
    <definedName name="_xlchart.v1.11">[1]Sheet1!$C$2:$C$19</definedName>
    <definedName name="_xlchart.v1.15">'[1]Before Covid 19 - Final Model'!$K$2:$K$25</definedName>
    <definedName name="_xlchart.v1.12">'[1]Before Covid 19 - Final Model'!$J$1</definedName>
    <definedName name="_xlchart.v1.5">[1]Sheet1!$B$2:$B$19</definedName>
    <definedName name="_xlchart.v1.6">[1]Sheet1!$C$1</definedName>
    <definedName name="_xlchart.v1.0">[1]Sheet1!$B$1</definedName>
    <definedName name="months">'[1]Time series Prediction'!$A$1:$A$25</definedName>
    <definedName name="_xlchart.v1.14">'[1]Before Covid 19 - Final Model'!$K$1</definedName>
    <definedName name="_xlchart.v1.1">[1]Sheet1!$B$2:$B$19</definedName>
    <definedName name="views">'[1]Time series Prediction'!$B$1:$B$25</definedName>
    <definedName name="_xlchart.v1.2">[1]Sheet1!$C$1</definedName>
    <definedName name="_xlchart.v1.13">'[1]Before Covid 19 - Final Model'!$J$2:$J$25</definedName>
    <definedName name="_xlchart.v1.10">[1]Sheet1!$C$1</definedName>
    <definedName name="_xlchart.v1.9">[1]Sheet1!$B$2:$B$19</definedName>
    <definedName name="_xlchart.v1.7">[1]Sheet1!$C$2:$C$19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<sst xmlns="http://schemas.openxmlformats.org/spreadsheetml/2006/main" count="20" uniqueCount="20">
  <si>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</si>
  <si>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</si>
  <si>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</si>
  <si>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</si>
  <si>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</si>
  <si>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</si>
  <si>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</si>
  <si>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</si>
  <si>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</si>
  <si>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</si>
  <si>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</si>
  <si>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</si>
  <si>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</si>
  <si>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GDP</t>
  </si>
  <si>
    <t>Inflation</t>
  </si>
  <si>
    <t>Stock price</t>
  </si>
  <si>
    <t>Revenue_squre</t>
  </si>
  <si>
    <t>Interest Rates</t>
  </si>
  <si>
    <t>Market Capital</t>
  </si>
  <si>
    <t>Price/Book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</si>
</sst>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mm"/>
    <numFmt numFmtId="177" formatCode="yyyy\ mmmm"/>
    <numFmt numFmtId="178" formatCode="0.0000000"/>
    <numFmt numFmtId="179" formatCode="0.00000%"/>
    <numFmt numFmtId="180" formatCode="0.0000%"/>
    <numFmt numFmtId="181" formatCode="0.00000000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176" fontId="1" fillId="0" borderId="0" xfId="0" applyNumberFormat="1" applyFont="1" applyAlignment="1">
      <alignment horizontal="left"/>
    </xf>
    <xf numFmtId="3" fontId="1" fillId="0" borderId="0" xfId="0" applyNumberFormat="1" applyFont="1"/>
    <xf numFmtId="177" fontId="1" fillId="0" borderId="0" xfId="0" applyNumberFormat="1" applyFont="1" applyAlignment="1">
      <alignment horizontal="left"/>
    </xf>
    <xf numFmtId="178" fontId="1" fillId="0" borderId="0" xfId="0" applyNumberFormat="1" applyFont="1"/>
    <xf numFmtId="178" fontId="1" fillId="0" borderId="0" xfId="0" applyNumberFormat="1" applyFont="1" applyAlignment="1">
      <alignment wrapText="1"/>
    </xf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 applyAlignment="1">
      <alignment wrapText="1"/>
    </xf>
    <xf numFmtId="181" fontId="1" fillId="0" borderId="0" xfId="0" applyNumberFormat="1" applyFont="1"/>
    <xf numFmtId="2" fontId="1" fillId="0" borderId="0" xfId="0" applyNumberFormat="1" applyFont="1"/>
    <xf numFmtId="0" fontId="2" fillId="0" borderId="1" xfId="0" applyFont="1" applyBorder="1" applyAlignment="1">
      <alignment wrapText="1"/>
    </xf>
    <xf numFmtId="3" fontId="3" fillId="0" borderId="0" xfId="0" applyNumberFormat="1" applyFont="1"/>
    <xf numFmtId="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%20Pandemic%20and%20Post%20pandemic%20Models%20and%20forecasting%20Excel%20working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 data"/>
      <sheetName val="Before covid group data set"/>
      <sheetName val="Before covid group data set (2)"/>
      <sheetName val="Summary"/>
      <sheetName val="Sheet1"/>
      <sheetName val="Forecast Stock values using pre"/>
      <sheetName val="Before Covid 19 - Final Model"/>
      <sheetName val="Time series Predi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"/>
  <sheetViews>
    <sheetView tabSelected="1" workbookViewId="0">
      <selection activeCell="A1" sqref="A1"/>
    </sheetView>
  </sheetViews>
  <sheetFormatPr defaultColWidth="14.4296875" defaultRowHeight="15" customHeight="1"/>
  <cols>
    <col min="1" max="1" width="16.2890625" style="1" customWidth="1"/>
    <col min="2" max="2" width="14.2890625" style="1" customWidth="1"/>
    <col min="3" max="3" width="15.4296875" style="1" customWidth="1"/>
    <col min="4" max="4" width="12.4296875" style="1" customWidth="1"/>
    <col min="5" max="5" width="11.5703125" style="1" customWidth="1"/>
    <col min="6" max="6" width="11.2890625" style="1" customWidth="1"/>
    <col min="7" max="7" width="10.140625" style="1" customWidth="1"/>
    <col min="8" max="8" width="13.4296875" style="1" customWidth="1"/>
    <col min="9" max="9" width="10.7109375" style="1" customWidth="1"/>
    <col min="10" max="10" width="19.2890625" style="1" customWidth="1"/>
    <col min="11" max="11" width="17.2890625" style="1" customWidth="1"/>
    <col min="12" max="12" width="11.859375" style="1" customWidth="1"/>
    <col min="13" max="13" width="13.140625" style="1" customWidth="1"/>
    <col min="14" max="26" width="8.7109375" style="1" customWidth="1"/>
    <col min="27" max="16384" width="14.4296875" style="1"/>
  </cols>
  <sheetData>
    <row r="1" ht="53.75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3" t="s">
        <v>16</v>
      </c>
      <c r="R1" s="13" t="s">
        <v>17</v>
      </c>
      <c r="S1" s="14" t="s">
        <v>18</v>
      </c>
      <c r="T1" s="14" t="s">
        <v>19</v>
      </c>
    </row>
    <row r="2" ht="18.35" spans="1:20">
      <c r="A2" s="4">
        <v>41699</v>
      </c>
      <c r="B2" s="5">
        <v>175460498</v>
      </c>
      <c r="C2" s="5">
        <v>130660608</v>
      </c>
      <c r="D2" s="5">
        <v>44799890</v>
      </c>
      <c r="E2" s="5">
        <v>1137035</v>
      </c>
      <c r="F2" s="5">
        <v>1204699</v>
      </c>
      <c r="G2" s="5">
        <v>2119259</v>
      </c>
      <c r="H2" s="7">
        <f t="shared" ref="H2:H25" si="0">B2/C2</f>
        <v>1.34287219909462</v>
      </c>
      <c r="I2" s="7">
        <f t="shared" ref="I2:I25" si="1">C2/D2</f>
        <v>2.91653858971529</v>
      </c>
      <c r="J2" s="9">
        <f t="shared" ref="J2:J25" si="2">F2/G2</f>
        <v>0.568452935672327</v>
      </c>
      <c r="K2" s="10">
        <f t="shared" ref="K2:K25" si="3">E2/G2</f>
        <v>0.536524794751373</v>
      </c>
      <c r="L2" s="12">
        <f t="shared" ref="L2:L25" si="4">G2/B2</f>
        <v>0.0120782684658743</v>
      </c>
      <c r="M2" s="12">
        <v>0.5</v>
      </c>
      <c r="N2" s="12">
        <v>1.3</v>
      </c>
      <c r="O2" s="12">
        <v>4.27</v>
      </c>
      <c r="P2" s="12">
        <v>75</v>
      </c>
      <c r="Q2" s="15">
        <f t="shared" ref="Q2:Q25" si="5">G2^2</f>
        <v>4491258709081</v>
      </c>
      <c r="R2" s="16">
        <v>6.5</v>
      </c>
      <c r="S2" s="17">
        <v>436230000</v>
      </c>
      <c r="T2" s="17">
        <v>1.9</v>
      </c>
    </row>
    <row r="3" ht="18.35" spans="1:20">
      <c r="A3" s="6">
        <v>41791</v>
      </c>
      <c r="B3" s="5">
        <v>177180703</v>
      </c>
      <c r="C3" s="5">
        <v>131333990</v>
      </c>
      <c r="D3" s="5">
        <v>45846713</v>
      </c>
      <c r="E3" s="5">
        <v>1012474</v>
      </c>
      <c r="F3" s="5">
        <v>621214</v>
      </c>
      <c r="G3" s="5">
        <v>2268378</v>
      </c>
      <c r="H3" s="7">
        <f t="shared" si="0"/>
        <v>1.34908490178361</v>
      </c>
      <c r="I3" s="7">
        <f t="shared" si="1"/>
        <v>2.86463262917017</v>
      </c>
      <c r="J3" s="9">
        <f t="shared" si="2"/>
        <v>0.273858237031042</v>
      </c>
      <c r="K3" s="10">
        <f t="shared" si="3"/>
        <v>0.446342717130919</v>
      </c>
      <c r="L3" s="12">
        <f t="shared" si="4"/>
        <v>0.0128026244483295</v>
      </c>
      <c r="M3" s="12">
        <v>1.95</v>
      </c>
      <c r="N3" s="12">
        <v>2.2</v>
      </c>
      <c r="O3" s="12">
        <v>3.87</v>
      </c>
      <c r="P3" s="12">
        <v>91.8</v>
      </c>
      <c r="Q3" s="15">
        <f t="shared" si="5"/>
        <v>5145538750884</v>
      </c>
      <c r="R3" s="16">
        <v>6.5</v>
      </c>
      <c r="S3" s="17">
        <v>436230000</v>
      </c>
      <c r="T3" s="17">
        <v>1.9</v>
      </c>
    </row>
    <row r="4" ht="18.35" spans="1:20">
      <c r="A4" s="4">
        <v>41883</v>
      </c>
      <c r="B4" s="5">
        <v>204314999</v>
      </c>
      <c r="C4" s="5">
        <v>154150141</v>
      </c>
      <c r="D4" s="5">
        <v>50164858</v>
      </c>
      <c r="E4" s="5">
        <v>1793064</v>
      </c>
      <c r="F4" s="5">
        <v>793836</v>
      </c>
      <c r="G4" s="5">
        <v>2537153</v>
      </c>
      <c r="H4" s="7">
        <f t="shared" si="0"/>
        <v>1.32542855734397</v>
      </c>
      <c r="I4" s="7">
        <f t="shared" si="1"/>
        <v>3.07287107241488</v>
      </c>
      <c r="J4" s="9">
        <f t="shared" si="2"/>
        <v>0.312884559977266</v>
      </c>
      <c r="K4" s="10">
        <f t="shared" si="3"/>
        <v>0.706722850375992</v>
      </c>
      <c r="L4" s="12">
        <f t="shared" si="4"/>
        <v>0.0124178499494303</v>
      </c>
      <c r="M4" s="12">
        <v>3.34</v>
      </c>
      <c r="N4" s="12">
        <v>5.1</v>
      </c>
      <c r="O4" s="12">
        <v>3.53</v>
      </c>
      <c r="P4" s="12">
        <v>85.4</v>
      </c>
      <c r="Q4" s="15">
        <f t="shared" si="5"/>
        <v>6437145345409</v>
      </c>
      <c r="R4" s="16">
        <v>6.5</v>
      </c>
      <c r="S4" s="17">
        <v>405820000</v>
      </c>
      <c r="T4" s="17">
        <v>1.7</v>
      </c>
    </row>
    <row r="5" ht="18.35" spans="1:20">
      <c r="A5" s="4">
        <v>41974</v>
      </c>
      <c r="B5" s="5">
        <v>214286292</v>
      </c>
      <c r="C5" s="5">
        <v>166960900</v>
      </c>
      <c r="D5" s="5">
        <v>47325392</v>
      </c>
      <c r="E5" s="5">
        <v>1531584</v>
      </c>
      <c r="F5" s="5">
        <v>923870</v>
      </c>
      <c r="G5" s="5">
        <v>2928167</v>
      </c>
      <c r="H5" s="7">
        <f t="shared" si="0"/>
        <v>1.28345194593465</v>
      </c>
      <c r="I5" s="7">
        <f t="shared" si="1"/>
        <v>3.52793485577468</v>
      </c>
      <c r="J5" s="9">
        <f t="shared" si="2"/>
        <v>0.315511376229566</v>
      </c>
      <c r="K5" s="10">
        <f t="shared" si="3"/>
        <v>0.523052134663084</v>
      </c>
      <c r="L5" s="12">
        <f t="shared" si="4"/>
        <v>0.0136647424931876</v>
      </c>
      <c r="M5" s="12">
        <v>2.64</v>
      </c>
      <c r="N5" s="12">
        <v>10.6</v>
      </c>
      <c r="O5" s="12">
        <v>2.4</v>
      </c>
      <c r="P5" s="12">
        <v>88</v>
      </c>
      <c r="Q5" s="15">
        <f t="shared" si="5"/>
        <v>8574161979889</v>
      </c>
      <c r="R5" s="16">
        <v>6.5</v>
      </c>
      <c r="S5" s="17">
        <v>418180000</v>
      </c>
      <c r="T5" s="17">
        <v>1.6</v>
      </c>
    </row>
    <row r="6" ht="18.35" spans="1:20">
      <c r="A6" s="4">
        <v>42064</v>
      </c>
      <c r="B6" s="5">
        <v>245970406</v>
      </c>
      <c r="C6" s="5">
        <v>188797138</v>
      </c>
      <c r="D6" s="5">
        <v>57173268</v>
      </c>
      <c r="E6" s="5">
        <v>1942587</v>
      </c>
      <c r="F6" s="5">
        <v>1226011</v>
      </c>
      <c r="G6" s="5">
        <v>3044023</v>
      </c>
      <c r="H6" s="7">
        <f t="shared" si="0"/>
        <v>1.30282910326744</v>
      </c>
      <c r="I6" s="7">
        <f t="shared" si="1"/>
        <v>3.30219252116216</v>
      </c>
      <c r="J6" s="9">
        <f t="shared" si="2"/>
        <v>0.402760097410565</v>
      </c>
      <c r="K6" s="10">
        <f t="shared" si="3"/>
        <v>0.638164363409869</v>
      </c>
      <c r="L6" s="12">
        <f t="shared" si="4"/>
        <v>0.0123755660264268</v>
      </c>
      <c r="M6" s="12">
        <v>3.44</v>
      </c>
      <c r="N6" s="12">
        <v>3.9</v>
      </c>
      <c r="O6" s="12">
        <v>6.47</v>
      </c>
      <c r="P6" s="12">
        <v>76.6</v>
      </c>
      <c r="Q6" s="15">
        <f t="shared" si="5"/>
        <v>9266076024529</v>
      </c>
      <c r="R6" s="16">
        <v>6.5</v>
      </c>
      <c r="S6" s="17">
        <v>364000000</v>
      </c>
      <c r="T6" s="17">
        <v>1.3</v>
      </c>
    </row>
    <row r="7" ht="18.35" spans="1:20">
      <c r="A7" s="6">
        <v>42156</v>
      </c>
      <c r="B7" s="5">
        <v>265826696</v>
      </c>
      <c r="C7" s="5">
        <v>206755537</v>
      </c>
      <c r="D7" s="5">
        <v>59071159</v>
      </c>
      <c r="E7" s="5">
        <v>2063903</v>
      </c>
      <c r="F7" s="5">
        <v>1449960</v>
      </c>
      <c r="G7" s="5">
        <v>4064938</v>
      </c>
      <c r="H7" s="7">
        <f t="shared" si="0"/>
        <v>1.28570533034866</v>
      </c>
      <c r="I7" s="7">
        <f t="shared" si="1"/>
        <v>3.50010970666751</v>
      </c>
      <c r="J7" s="9">
        <f t="shared" si="2"/>
        <v>0.356699167367374</v>
      </c>
      <c r="K7" s="10">
        <f t="shared" si="3"/>
        <v>0.507732959272688</v>
      </c>
      <c r="L7" s="12">
        <f t="shared" si="4"/>
        <v>0.0152916846244818</v>
      </c>
      <c r="M7" s="12">
        <v>3.9</v>
      </c>
      <c r="N7" s="12">
        <v>7.1</v>
      </c>
      <c r="O7" s="12">
        <v>2.83</v>
      </c>
      <c r="P7" s="12">
        <v>99.7</v>
      </c>
      <c r="Q7" s="15">
        <f t="shared" si="5"/>
        <v>16523720943844</v>
      </c>
      <c r="R7" s="16">
        <v>6</v>
      </c>
      <c r="S7" s="17">
        <v>473770000</v>
      </c>
      <c r="T7" s="17">
        <v>1.7</v>
      </c>
    </row>
    <row r="8" ht="18.35" spans="1:20">
      <c r="A8" s="4">
        <v>42248</v>
      </c>
      <c r="B8" s="5">
        <v>292433074</v>
      </c>
      <c r="C8" s="5">
        <v>230605159</v>
      </c>
      <c r="D8" s="5">
        <v>61827915</v>
      </c>
      <c r="E8" s="5">
        <v>2396338</v>
      </c>
      <c r="F8" s="5">
        <v>1603769</v>
      </c>
      <c r="G8" s="5">
        <v>5189030</v>
      </c>
      <c r="H8" s="7">
        <f t="shared" si="0"/>
        <v>1.26811158635007</v>
      </c>
      <c r="I8" s="7">
        <f t="shared" si="1"/>
        <v>3.7297903220576</v>
      </c>
      <c r="J8" s="9">
        <f t="shared" si="2"/>
        <v>0.309069132381196</v>
      </c>
      <c r="K8" s="10">
        <f t="shared" si="3"/>
        <v>0.461808469020221</v>
      </c>
      <c r="L8" s="12">
        <f t="shared" si="4"/>
        <v>0.0177443335291137</v>
      </c>
      <c r="M8" s="12">
        <v>4.54</v>
      </c>
      <c r="N8" s="12">
        <v>5.9</v>
      </c>
      <c r="O8" s="12">
        <v>1.87</v>
      </c>
      <c r="P8" s="12">
        <v>96.6</v>
      </c>
      <c r="Q8" s="15">
        <f t="shared" si="5"/>
        <v>26926032340900</v>
      </c>
      <c r="R8" s="16">
        <v>6</v>
      </c>
      <c r="S8" s="17">
        <v>459040000</v>
      </c>
      <c r="T8" s="17">
        <v>1.5</v>
      </c>
    </row>
    <row r="9" ht="18.35" spans="1:20">
      <c r="A9" s="4">
        <v>42339</v>
      </c>
      <c r="B9" s="5">
        <v>317413478</v>
      </c>
      <c r="C9" s="5">
        <v>255023812</v>
      </c>
      <c r="D9" s="5">
        <v>62389666</v>
      </c>
      <c r="E9" s="5">
        <v>2674837</v>
      </c>
      <c r="F9" s="5">
        <v>1688881</v>
      </c>
      <c r="G9" s="5">
        <v>5351834</v>
      </c>
      <c r="H9" s="7">
        <f t="shared" si="0"/>
        <v>1.24464251204903</v>
      </c>
      <c r="I9" s="7">
        <f t="shared" si="1"/>
        <v>4.08759700685046</v>
      </c>
      <c r="J9" s="9">
        <f t="shared" si="2"/>
        <v>0.315570512837282</v>
      </c>
      <c r="K9" s="10">
        <f t="shared" si="3"/>
        <v>0.499798200018909</v>
      </c>
      <c r="L9" s="12">
        <f t="shared" si="4"/>
        <v>0.0168607648097413</v>
      </c>
      <c r="M9" s="12">
        <v>4.66</v>
      </c>
      <c r="N9" s="12">
        <v>3.3</v>
      </c>
      <c r="O9" s="12">
        <v>4</v>
      </c>
      <c r="P9" s="12">
        <v>94</v>
      </c>
      <c r="Q9" s="15">
        <f t="shared" si="5"/>
        <v>28642127163556</v>
      </c>
      <c r="R9" s="16">
        <v>6</v>
      </c>
      <c r="S9" s="17">
        <v>446690000</v>
      </c>
      <c r="T9" s="17">
        <v>1.4</v>
      </c>
    </row>
    <row r="10" ht="18.35" spans="1:20">
      <c r="A10" s="4">
        <v>42430</v>
      </c>
      <c r="B10" s="5">
        <v>379384198</v>
      </c>
      <c r="C10" s="5">
        <v>313218328</v>
      </c>
      <c r="D10" s="5">
        <v>66165870</v>
      </c>
      <c r="E10" s="5">
        <v>2196309</v>
      </c>
      <c r="F10" s="5">
        <v>2824063</v>
      </c>
      <c r="G10" s="5">
        <v>5663722</v>
      </c>
      <c r="H10" s="7">
        <f t="shared" si="0"/>
        <v>1.21124520529335</v>
      </c>
      <c r="I10" s="7">
        <f t="shared" si="1"/>
        <v>4.73383525373429</v>
      </c>
      <c r="J10" s="9">
        <f t="shared" si="2"/>
        <v>0.498623166885663</v>
      </c>
      <c r="K10" s="10">
        <f t="shared" si="3"/>
        <v>0.387785452746445</v>
      </c>
      <c r="L10" s="12">
        <f t="shared" si="4"/>
        <v>0.0149287240477001</v>
      </c>
      <c r="M10" s="12">
        <v>4.83</v>
      </c>
      <c r="N10" s="12">
        <v>6.7</v>
      </c>
      <c r="O10" s="12">
        <v>1.07</v>
      </c>
      <c r="P10" s="12">
        <v>72</v>
      </c>
      <c r="Q10" s="15">
        <f t="shared" si="5"/>
        <v>32077746893284</v>
      </c>
      <c r="R10" s="16">
        <v>6.5</v>
      </c>
      <c r="S10" s="17">
        <v>342140000</v>
      </c>
      <c r="T10" s="17">
        <v>1</v>
      </c>
    </row>
    <row r="11" ht="18.35" spans="1:20">
      <c r="A11" s="6">
        <v>42522</v>
      </c>
      <c r="B11" s="5">
        <v>394590272</v>
      </c>
      <c r="C11" s="5">
        <v>325887011</v>
      </c>
      <c r="D11" s="5">
        <v>68703261</v>
      </c>
      <c r="E11" s="5">
        <v>2405065</v>
      </c>
      <c r="F11" s="5">
        <v>1909734</v>
      </c>
      <c r="G11" s="5">
        <v>5058548</v>
      </c>
      <c r="H11" s="7">
        <f t="shared" si="0"/>
        <v>1.21081926766329</v>
      </c>
      <c r="I11" s="7">
        <f t="shared" si="1"/>
        <v>4.74339945814217</v>
      </c>
      <c r="J11" s="9">
        <f t="shared" si="2"/>
        <v>0.377526120143567</v>
      </c>
      <c r="K11" s="10">
        <f t="shared" si="3"/>
        <v>0.475445720787862</v>
      </c>
      <c r="L11" s="12">
        <f t="shared" si="4"/>
        <v>0.0128197483794025</v>
      </c>
      <c r="M11" s="12">
        <v>4.92</v>
      </c>
      <c r="N11" s="12">
        <v>4.4</v>
      </c>
      <c r="O11" s="12">
        <v>5.33</v>
      </c>
      <c r="P11" s="12">
        <v>78</v>
      </c>
      <c r="Q11" s="15">
        <f t="shared" si="5"/>
        <v>25588907868304</v>
      </c>
      <c r="R11" s="16">
        <v>6.5</v>
      </c>
      <c r="S11" s="17">
        <v>370660000</v>
      </c>
      <c r="T11" s="17">
        <v>1</v>
      </c>
    </row>
    <row r="12" ht="18.35" spans="1:20">
      <c r="A12" s="4">
        <v>42614</v>
      </c>
      <c r="B12" s="5">
        <v>412723891</v>
      </c>
      <c r="C12" s="5">
        <v>342660240</v>
      </c>
      <c r="D12" s="5">
        <v>70063651</v>
      </c>
      <c r="E12" s="5">
        <v>2580607</v>
      </c>
      <c r="F12" s="5">
        <v>2471955</v>
      </c>
      <c r="G12" s="5">
        <v>6194657</v>
      </c>
      <c r="H12" s="7">
        <f t="shared" si="0"/>
        <v>1.20446974238972</v>
      </c>
      <c r="I12" s="7">
        <f t="shared" si="1"/>
        <v>4.89069917295632</v>
      </c>
      <c r="J12" s="9">
        <f t="shared" si="2"/>
        <v>0.399046307164384</v>
      </c>
      <c r="K12" s="10">
        <f t="shared" si="3"/>
        <v>0.416585938495061</v>
      </c>
      <c r="L12" s="12">
        <f t="shared" si="4"/>
        <v>0.0150092038166019</v>
      </c>
      <c r="M12" s="12">
        <v>5.05</v>
      </c>
      <c r="N12" s="12">
        <v>2.9</v>
      </c>
      <c r="O12" s="12">
        <v>5</v>
      </c>
      <c r="P12" s="12">
        <v>82.2</v>
      </c>
      <c r="Q12" s="15">
        <f t="shared" si="5"/>
        <v>38373775347649</v>
      </c>
      <c r="R12" s="16">
        <v>7</v>
      </c>
      <c r="S12" s="17">
        <v>390610000</v>
      </c>
      <c r="T12" s="17">
        <v>1</v>
      </c>
    </row>
    <row r="13" ht="18.35" spans="1:20">
      <c r="A13" s="4">
        <v>42705</v>
      </c>
      <c r="B13" s="5">
        <v>428854994</v>
      </c>
      <c r="C13" s="5">
        <v>356274134</v>
      </c>
      <c r="D13" s="5">
        <v>72580860</v>
      </c>
      <c r="E13" s="5">
        <v>2967371</v>
      </c>
      <c r="F13" s="5">
        <v>2444222</v>
      </c>
      <c r="G13" s="5">
        <v>6290599</v>
      </c>
      <c r="H13" s="7">
        <f t="shared" si="0"/>
        <v>1.20372194631452</v>
      </c>
      <c r="I13" s="7">
        <f t="shared" si="1"/>
        <v>4.90865131661432</v>
      </c>
      <c r="J13" s="9">
        <f t="shared" si="2"/>
        <v>0.388551551291061</v>
      </c>
      <c r="K13" s="10">
        <f t="shared" si="3"/>
        <v>0.471715173706033</v>
      </c>
      <c r="L13" s="12">
        <f t="shared" si="4"/>
        <v>0.0146683589745022</v>
      </c>
      <c r="M13" s="12">
        <v>5.88</v>
      </c>
      <c r="N13" s="12">
        <v>6.2</v>
      </c>
      <c r="O13" s="12">
        <v>4.43</v>
      </c>
      <c r="P13" s="12">
        <v>72.5</v>
      </c>
      <c r="Q13" s="15">
        <f t="shared" si="5"/>
        <v>39571635778801</v>
      </c>
      <c r="R13" s="16">
        <v>7</v>
      </c>
      <c r="S13" s="17">
        <v>344520000</v>
      </c>
      <c r="T13" s="17">
        <v>0.8</v>
      </c>
    </row>
    <row r="14" ht="18.35" spans="1:20">
      <c r="A14" s="4">
        <v>42795</v>
      </c>
      <c r="B14" s="5">
        <v>640924839</v>
      </c>
      <c r="C14" s="5">
        <v>538309001</v>
      </c>
      <c r="D14" s="5">
        <v>102615838</v>
      </c>
      <c r="E14" s="5">
        <v>13033979</v>
      </c>
      <c r="F14" s="5">
        <v>2995745</v>
      </c>
      <c r="G14" s="5">
        <v>6697735</v>
      </c>
      <c r="H14" s="7">
        <f t="shared" si="0"/>
        <v>1.19062627191701</v>
      </c>
      <c r="I14" s="7">
        <f t="shared" si="1"/>
        <v>5.24586663707799</v>
      </c>
      <c r="J14" s="9">
        <f t="shared" si="2"/>
        <v>0.447277325842244</v>
      </c>
      <c r="K14" s="10">
        <f t="shared" si="3"/>
        <v>1.94602787360205</v>
      </c>
      <c r="L14" s="12">
        <f t="shared" si="4"/>
        <v>0.0104501098919026</v>
      </c>
      <c r="M14" s="12">
        <v>20.27</v>
      </c>
      <c r="N14" s="12">
        <v>7.3</v>
      </c>
      <c r="O14" s="12">
        <v>7.77</v>
      </c>
      <c r="P14" s="12">
        <v>61</v>
      </c>
      <c r="Q14" s="15">
        <f t="shared" si="5"/>
        <v>44859654130225</v>
      </c>
      <c r="R14" s="16">
        <v>7.25</v>
      </c>
      <c r="S14" s="17">
        <v>289870000</v>
      </c>
      <c r="T14" s="17">
        <v>0.7</v>
      </c>
    </row>
    <row r="15" ht="18.35" spans="1:20">
      <c r="A15" s="4">
        <v>42887</v>
      </c>
      <c r="B15" s="5">
        <v>690280408</v>
      </c>
      <c r="C15" s="5">
        <v>583145147</v>
      </c>
      <c r="D15" s="5">
        <v>107135261</v>
      </c>
      <c r="E15" s="5">
        <v>5078654</v>
      </c>
      <c r="F15" s="5">
        <v>1888333</v>
      </c>
      <c r="G15" s="5">
        <v>4842678</v>
      </c>
      <c r="H15" s="7">
        <f t="shared" si="0"/>
        <v>1.18371971635391</v>
      </c>
      <c r="I15" s="7">
        <f t="shared" si="1"/>
        <v>5.44307393809401</v>
      </c>
      <c r="J15" s="9">
        <f t="shared" si="2"/>
        <v>0.389935692606446</v>
      </c>
      <c r="K15" s="10">
        <f t="shared" si="3"/>
        <v>1.04872841018957</v>
      </c>
      <c r="L15" s="12">
        <f t="shared" si="4"/>
        <v>0.00701552288588205</v>
      </c>
      <c r="M15" s="12">
        <v>6.01</v>
      </c>
      <c r="N15" s="12">
        <v>4.3</v>
      </c>
      <c r="O15" s="12">
        <v>7.27</v>
      </c>
      <c r="P15" s="12">
        <v>112.8</v>
      </c>
      <c r="Q15" s="15">
        <f t="shared" si="5"/>
        <v>23451530211684</v>
      </c>
      <c r="R15" s="16">
        <v>7.25</v>
      </c>
      <c r="S15" s="17">
        <v>536030000</v>
      </c>
      <c r="T15" s="17">
        <v>0.9</v>
      </c>
    </row>
    <row r="16" ht="18.35" spans="1:20">
      <c r="A16" s="4">
        <v>42979</v>
      </c>
      <c r="B16" s="5">
        <v>747970928</v>
      </c>
      <c r="C16" s="5">
        <v>637899570</v>
      </c>
      <c r="D16" s="5">
        <v>110071358</v>
      </c>
      <c r="E16" s="5">
        <v>3737484</v>
      </c>
      <c r="F16" s="5">
        <v>2007473</v>
      </c>
      <c r="G16" s="5">
        <v>5799466</v>
      </c>
      <c r="H16" s="7">
        <f t="shared" si="0"/>
        <v>1.17255280168946</v>
      </c>
      <c r="I16" s="7">
        <f t="shared" si="1"/>
        <v>5.79532751835405</v>
      </c>
      <c r="J16" s="9">
        <f t="shared" si="2"/>
        <v>0.346147903962192</v>
      </c>
      <c r="K16" s="10">
        <f t="shared" si="3"/>
        <v>0.644453127236197</v>
      </c>
      <c r="L16" s="12">
        <f t="shared" si="4"/>
        <v>0.00775359814519422</v>
      </c>
      <c r="M16" s="12">
        <v>3.91</v>
      </c>
      <c r="N16" s="12">
        <v>6</v>
      </c>
      <c r="O16" s="12">
        <v>7.6</v>
      </c>
      <c r="P16" s="12">
        <v>127</v>
      </c>
      <c r="Q16" s="15">
        <f t="shared" si="5"/>
        <v>33633805885156</v>
      </c>
      <c r="R16" s="16">
        <v>7.25</v>
      </c>
      <c r="S16" s="17">
        <v>603500000</v>
      </c>
      <c r="T16" s="17">
        <v>1</v>
      </c>
    </row>
    <row r="17" ht="18.35" spans="1:20">
      <c r="A17" s="4">
        <v>43070</v>
      </c>
      <c r="B17" s="5">
        <v>770223988</v>
      </c>
      <c r="C17" s="5">
        <v>654315435</v>
      </c>
      <c r="D17" s="5">
        <v>115908553</v>
      </c>
      <c r="E17" s="5">
        <v>4427747</v>
      </c>
      <c r="F17" s="5">
        <v>2014108</v>
      </c>
      <c r="G17" s="5">
        <v>6212330</v>
      </c>
      <c r="H17" s="7">
        <f t="shared" si="0"/>
        <v>1.17714476351914</v>
      </c>
      <c r="I17" s="7">
        <f t="shared" si="1"/>
        <v>5.6451005388705</v>
      </c>
      <c r="J17" s="9">
        <f t="shared" si="2"/>
        <v>0.324211366749674</v>
      </c>
      <c r="K17" s="10">
        <f t="shared" si="3"/>
        <v>0.712735318310521</v>
      </c>
      <c r="L17" s="12">
        <f t="shared" si="4"/>
        <v>0.00806561480398868</v>
      </c>
      <c r="M17" s="12">
        <v>5.37</v>
      </c>
      <c r="N17" s="12">
        <v>8</v>
      </c>
      <c r="O17" s="12">
        <v>8.17</v>
      </c>
      <c r="P17" s="12">
        <v>115.1</v>
      </c>
      <c r="Q17" s="15">
        <f t="shared" si="5"/>
        <v>38593044028900</v>
      </c>
      <c r="R17" s="16">
        <v>7.25</v>
      </c>
      <c r="S17" s="17">
        <v>546960000</v>
      </c>
      <c r="T17" s="17">
        <v>0.9</v>
      </c>
    </row>
    <row r="18" ht="18.35" spans="1:20">
      <c r="A18" s="4">
        <v>43160</v>
      </c>
      <c r="B18" s="5">
        <v>822362468</v>
      </c>
      <c r="C18" s="5">
        <v>704070277</v>
      </c>
      <c r="D18" s="5">
        <v>118292191</v>
      </c>
      <c r="E18" s="5">
        <v>5947375</v>
      </c>
      <c r="F18" s="5">
        <v>1288389</v>
      </c>
      <c r="G18" s="5">
        <v>5792567</v>
      </c>
      <c r="H18" s="7">
        <f t="shared" si="0"/>
        <v>1.16801190856122</v>
      </c>
      <c r="I18" s="7">
        <f t="shared" si="1"/>
        <v>5.95195905197157</v>
      </c>
      <c r="J18" s="9">
        <f t="shared" si="2"/>
        <v>0.222421078599522</v>
      </c>
      <c r="K18" s="10">
        <f t="shared" si="3"/>
        <v>1.02672528431695</v>
      </c>
      <c r="L18" s="12">
        <f t="shared" si="4"/>
        <v>0.00704381246153855</v>
      </c>
      <c r="M18" s="12">
        <v>5.18</v>
      </c>
      <c r="N18" s="12">
        <v>3.7</v>
      </c>
      <c r="O18" s="12">
        <v>3.8</v>
      </c>
      <c r="P18" s="12">
        <v>118</v>
      </c>
      <c r="Q18" s="15">
        <f t="shared" si="5"/>
        <v>33553832449489</v>
      </c>
      <c r="R18" s="16">
        <v>7.25</v>
      </c>
      <c r="S18" s="17">
        <v>560740000</v>
      </c>
      <c r="T18" s="17">
        <v>0.8</v>
      </c>
    </row>
    <row r="19" ht="18.35" spans="1:20">
      <c r="A19" s="4">
        <v>43252</v>
      </c>
      <c r="B19" s="5">
        <v>832268808</v>
      </c>
      <c r="C19" s="5">
        <v>708934242</v>
      </c>
      <c r="D19" s="5">
        <v>123334566</v>
      </c>
      <c r="E19" s="5">
        <v>4324630</v>
      </c>
      <c r="F19" s="5">
        <v>1575735</v>
      </c>
      <c r="G19" s="5">
        <v>4978017</v>
      </c>
      <c r="H19" s="7">
        <f t="shared" si="0"/>
        <v>1.17397179977096</v>
      </c>
      <c r="I19" s="7">
        <f t="shared" si="1"/>
        <v>5.748058026166</v>
      </c>
      <c r="J19" s="9">
        <f t="shared" si="2"/>
        <v>0.316538694022138</v>
      </c>
      <c r="K19" s="10">
        <f t="shared" si="3"/>
        <v>0.868745526582171</v>
      </c>
      <c r="L19" s="12">
        <f t="shared" si="4"/>
        <v>0.00598126104468882</v>
      </c>
      <c r="M19" s="12">
        <v>6.43</v>
      </c>
      <c r="N19" s="12">
        <v>5.2</v>
      </c>
      <c r="O19" s="12">
        <v>1</v>
      </c>
      <c r="P19" s="12">
        <v>98.5</v>
      </c>
      <c r="Q19" s="15">
        <f t="shared" si="5"/>
        <v>24780653252289</v>
      </c>
      <c r="R19" s="16">
        <v>7.25</v>
      </c>
      <c r="S19" s="17">
        <v>468070000</v>
      </c>
      <c r="T19" s="17">
        <v>0.7</v>
      </c>
    </row>
    <row r="20" ht="18.35" spans="1:20">
      <c r="A20" s="4">
        <v>43344</v>
      </c>
      <c r="B20" s="5">
        <v>928455208</v>
      </c>
      <c r="C20" s="5">
        <v>798485355</v>
      </c>
      <c r="D20" s="5">
        <v>129969853</v>
      </c>
      <c r="E20" s="5">
        <v>3190081</v>
      </c>
      <c r="F20" s="5">
        <v>1631793</v>
      </c>
      <c r="G20" s="5">
        <v>5733691</v>
      </c>
      <c r="H20" s="7">
        <f t="shared" si="0"/>
        <v>1.16277049063724</v>
      </c>
      <c r="I20" s="7">
        <f t="shared" si="1"/>
        <v>6.14361974388014</v>
      </c>
      <c r="J20" s="9">
        <f t="shared" si="2"/>
        <v>0.284597303900751</v>
      </c>
      <c r="K20" s="10">
        <f t="shared" si="3"/>
        <v>0.556374768015926</v>
      </c>
      <c r="L20" s="12">
        <f t="shared" si="4"/>
        <v>0.00617551708536488</v>
      </c>
      <c r="M20" s="12">
        <v>2.77</v>
      </c>
      <c r="N20" s="12">
        <v>4.4</v>
      </c>
      <c r="O20" s="12">
        <v>2.07</v>
      </c>
      <c r="P20" s="12">
        <v>86.1</v>
      </c>
      <c r="Q20" s="15">
        <f t="shared" si="5"/>
        <v>32875212483481</v>
      </c>
      <c r="R20" s="16">
        <v>7.25</v>
      </c>
      <c r="S20" s="17">
        <v>409150000</v>
      </c>
      <c r="T20" s="17">
        <v>0.6</v>
      </c>
    </row>
    <row r="21" ht="15.75" customHeight="1" spans="1:20">
      <c r="A21" s="4">
        <v>43435</v>
      </c>
      <c r="B21" s="5">
        <v>1008279948</v>
      </c>
      <c r="C21" s="5">
        <v>869691023</v>
      </c>
      <c r="D21" s="5">
        <v>138588925</v>
      </c>
      <c r="E21" s="5">
        <v>3221334</v>
      </c>
      <c r="F21" s="5">
        <v>2133132</v>
      </c>
      <c r="G21" s="5">
        <v>6411129</v>
      </c>
      <c r="H21" s="7">
        <f t="shared" si="0"/>
        <v>1.15935420894876</v>
      </c>
      <c r="I21" s="7">
        <f t="shared" si="1"/>
        <v>6.27532844345246</v>
      </c>
      <c r="J21" s="9">
        <f t="shared" si="2"/>
        <v>0.33272330037346</v>
      </c>
      <c r="K21" s="10">
        <f t="shared" si="3"/>
        <v>0.502459707174821</v>
      </c>
      <c r="L21" s="12">
        <f t="shared" si="4"/>
        <v>0.00635848110707444</v>
      </c>
      <c r="M21" s="12">
        <v>2.28</v>
      </c>
      <c r="N21" s="12">
        <v>-3.5</v>
      </c>
      <c r="O21" s="12">
        <v>2.27</v>
      </c>
      <c r="P21" s="12">
        <v>89.9</v>
      </c>
      <c r="Q21" s="15">
        <f t="shared" si="5"/>
        <v>41102575054641</v>
      </c>
      <c r="R21" s="16">
        <v>8</v>
      </c>
      <c r="S21" s="17">
        <v>427200000</v>
      </c>
      <c r="T21" s="17">
        <v>0.5</v>
      </c>
    </row>
    <row r="22" ht="15.75" customHeight="1" spans="1:20">
      <c r="A22" s="4">
        <v>43525</v>
      </c>
      <c r="B22" s="5">
        <v>1043914844</v>
      </c>
      <c r="C22" s="5">
        <v>891980592</v>
      </c>
      <c r="D22" s="5">
        <v>151934252</v>
      </c>
      <c r="E22" s="5">
        <v>8881927</v>
      </c>
      <c r="F22" s="5">
        <v>2404967</v>
      </c>
      <c r="G22" s="5">
        <v>7732612</v>
      </c>
      <c r="H22" s="7">
        <f t="shared" si="0"/>
        <v>1.17033358501594</v>
      </c>
      <c r="I22" s="7">
        <f t="shared" si="1"/>
        <v>5.8708328126037</v>
      </c>
      <c r="J22" s="9">
        <f t="shared" si="2"/>
        <v>0.311016122365897</v>
      </c>
      <c r="K22" s="10">
        <f t="shared" si="3"/>
        <v>1.1486321827605</v>
      </c>
      <c r="L22" s="12">
        <f t="shared" si="4"/>
        <v>0.00740732066838969</v>
      </c>
      <c r="M22" s="12">
        <v>12.24</v>
      </c>
      <c r="N22" s="12">
        <v>-0.1</v>
      </c>
      <c r="O22" s="12">
        <v>0.5</v>
      </c>
      <c r="P22" s="12">
        <v>88.9</v>
      </c>
      <c r="Q22" s="15">
        <f t="shared" si="5"/>
        <v>59793288342544</v>
      </c>
      <c r="R22" s="16">
        <v>8</v>
      </c>
      <c r="S22" s="17">
        <v>422450000</v>
      </c>
      <c r="T22" s="17">
        <v>0.5</v>
      </c>
    </row>
    <row r="23" ht="15.75" customHeight="1" spans="1:20">
      <c r="A23" s="4">
        <v>43617</v>
      </c>
      <c r="B23" s="5">
        <v>1144855978</v>
      </c>
      <c r="C23" s="5">
        <v>955084702</v>
      </c>
      <c r="D23" s="5">
        <v>189771276</v>
      </c>
      <c r="E23" s="5">
        <v>9955273</v>
      </c>
      <c r="F23" s="5">
        <v>1637239</v>
      </c>
      <c r="G23" s="5">
        <v>5106338</v>
      </c>
      <c r="H23" s="7">
        <f t="shared" si="0"/>
        <v>1.19869575504938</v>
      </c>
      <c r="I23" s="7">
        <f t="shared" si="1"/>
        <v>5.03282015134893</v>
      </c>
      <c r="J23" s="9">
        <f t="shared" si="2"/>
        <v>0.320628795038636</v>
      </c>
      <c r="K23" s="10">
        <f t="shared" si="3"/>
        <v>1.94959146848485</v>
      </c>
      <c r="L23" s="12">
        <f t="shared" si="4"/>
        <v>0.00446024486758631</v>
      </c>
      <c r="M23" s="12">
        <v>15.8</v>
      </c>
      <c r="N23" s="12">
        <v>-1.8</v>
      </c>
      <c r="O23" s="12">
        <v>3.07</v>
      </c>
      <c r="P23" s="12">
        <v>91</v>
      </c>
      <c r="Q23" s="15">
        <f t="shared" si="5"/>
        <v>26074687770244</v>
      </c>
      <c r="R23" s="16">
        <v>7.5</v>
      </c>
      <c r="S23" s="17">
        <v>432430000</v>
      </c>
      <c r="T23" s="17">
        <v>0.5</v>
      </c>
    </row>
    <row r="24" ht="15.75" customHeight="1" spans="1:20">
      <c r="A24" s="4">
        <v>43709</v>
      </c>
      <c r="B24" s="5">
        <v>1221164176</v>
      </c>
      <c r="C24" s="5">
        <v>1023478776</v>
      </c>
      <c r="D24" s="5">
        <v>197685399</v>
      </c>
      <c r="E24" s="5">
        <v>2863208</v>
      </c>
      <c r="F24" s="5">
        <v>1969665</v>
      </c>
      <c r="G24" s="5">
        <v>6449678</v>
      </c>
      <c r="H24" s="7">
        <f t="shared" si="0"/>
        <v>1.19315046353243</v>
      </c>
      <c r="I24" s="7">
        <f t="shared" si="1"/>
        <v>5.17731092522417</v>
      </c>
      <c r="J24" s="9">
        <f t="shared" si="2"/>
        <v>0.305389664414254</v>
      </c>
      <c r="K24" s="10">
        <f t="shared" si="3"/>
        <v>0.443930379160014</v>
      </c>
      <c r="L24" s="12">
        <f t="shared" si="4"/>
        <v>0.00528158140138562</v>
      </c>
      <c r="M24" s="12">
        <v>0.96</v>
      </c>
      <c r="N24" s="12">
        <v>1.2</v>
      </c>
      <c r="O24" s="12">
        <v>3.53</v>
      </c>
      <c r="P24" s="12">
        <v>124.1</v>
      </c>
      <c r="Q24" s="15">
        <f t="shared" si="5"/>
        <v>41598346303684</v>
      </c>
      <c r="R24" s="16">
        <v>7</v>
      </c>
      <c r="S24" s="17">
        <v>589720000</v>
      </c>
      <c r="T24" s="17">
        <v>0.6</v>
      </c>
    </row>
    <row r="25" ht="15.75" customHeight="1" spans="1:20">
      <c r="A25" s="4">
        <v>43800</v>
      </c>
      <c r="B25" s="5">
        <v>1278447033</v>
      </c>
      <c r="C25" s="5">
        <v>1071060816</v>
      </c>
      <c r="D25" s="5">
        <v>207386218</v>
      </c>
      <c r="E25" s="5">
        <v>3410080</v>
      </c>
      <c r="F25" s="5">
        <v>2258593</v>
      </c>
      <c r="G25" s="5">
        <v>6554993</v>
      </c>
      <c r="H25" s="7">
        <f t="shared" si="0"/>
        <v>1.19362692939744</v>
      </c>
      <c r="I25" s="7">
        <f t="shared" si="1"/>
        <v>5.16457084915836</v>
      </c>
      <c r="J25" s="9">
        <f t="shared" si="2"/>
        <v>0.344560703573596</v>
      </c>
      <c r="K25" s="10">
        <f t="shared" si="3"/>
        <v>0.520226337388919</v>
      </c>
      <c r="L25" s="12">
        <f t="shared" si="4"/>
        <v>0.00512730901695479</v>
      </c>
      <c r="M25" s="12">
        <v>3.09</v>
      </c>
      <c r="N25" s="12">
        <v>-0.3</v>
      </c>
      <c r="O25" s="12">
        <v>5.3</v>
      </c>
      <c r="P25" s="12">
        <v>177.5</v>
      </c>
      <c r="Q25" s="15">
        <f t="shared" si="5"/>
        <v>42967933230049</v>
      </c>
      <c r="R25" s="16">
        <v>7</v>
      </c>
      <c r="S25" s="17">
        <v>843480000</v>
      </c>
      <c r="T25" s="17">
        <v>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Before covid group data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sanuriliyanage</dc:creator>
  <cp:lastModifiedBy>sanuriliyanage</cp:lastModifiedBy>
  <dcterms:created xsi:type="dcterms:W3CDTF">2026-03-11T19:26:37Z</dcterms:created>
  <dcterms:modified xsi:type="dcterms:W3CDTF">2026-03-11T19:27:28Z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D074B7BAA325C70A9574B169781126A1_41</vt:lpwstr>
  </property>
  <property fmtid="{D5CDD505-2E9C-101B-9397-08002B2CF9AE}" pid="3" name="KSOProductBuildVer">
    <vt:lpwstr>1033-12.1.22553.22553</vt:lpwstr>
  </property>
</Properties>
</file>