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<sst xmlns="http://schemas.openxmlformats.org/spreadsheetml/2006/main" count="25" uniqueCount="25">
  <si>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LOLC HOLDINGS ( Group)</t>
  </si>
  <si>
    <t>Quarters</t>
  </si>
  <si>
    <t>Total Assets</t>
  </si>
  <si>
    <t>Total Liabilities</t>
  </si>
  <si>
    <t>Total Equity</t>
  </si>
  <si>
    <t>Net Income</t>
  </si>
  <si>
    <t>Grossprofit</t>
  </si>
  <si>
    <t>Revenue</t>
  </si>
  <si>
    <t>Current Ratio</t>
  </si>
  <si>
    <t>Debt to equity Ratio</t>
  </si>
  <si>
    <t>Gross profit Margin</t>
  </si>
  <si>
    <t>Net Profit Margin</t>
  </si>
  <si>
    <t>Assets Turn Over Ratio</t>
  </si>
  <si>
    <t>Earnings Per share</t>
  </si>
  <si>
    <t>Stock price</t>
  </si>
  <si>
    <t>GDP</t>
  </si>
  <si>
    <t>Inflation</t>
  </si>
  <si>
    <t>SLF Rates</t>
  </si>
  <si>
    <t>AWPL Rate - No need</t>
  </si>
  <si>
    <t>Price Earnings ratio</t>
  </si>
  <si>
    <t>Trading Volume</t>
  </si>
  <si>
    <t>Interest Rates</t>
  </si>
  <si>
    <t>Unemployment rate</t>
  </si>
  <si>
    <t>Market Capital</t>
  </si>
  <si>
    <t>Price/Book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</si>
</sst>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%"/>
    <numFmt numFmtId="165" formatCode="0.0000%"/>
    <numFmt numFmtId="166" formatCode="yyyy-mmmm"/>
    <numFmt numFmtId="167" formatCode="yyyy mmmm"/>
    <numFmt numFmtId="168" formatCode="&quot;$&quot;#,##0.00"/>
  </numFmts>
  <fonts count="11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</font>
    <font>
      <b/>
      <sz val="14.0"/>
      <color theme="1"/>
      <name val="Arial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3" fontId="3" numFmtId="0" xfId="0" applyFill="1" applyFont="1"/>
    <xf borderId="4" fillId="4" fontId="4" numFmtId="0" xfId="0" applyAlignment="1" applyBorder="1" applyFill="1" applyFont="1">
      <alignment horizontal="left"/>
    </xf>
    <xf borderId="0" fillId="5" fontId="5" numFmtId="0" xfId="0" applyAlignment="1" applyFill="1" applyFont="1">
      <alignment readingOrder="0"/>
    </xf>
    <xf borderId="0" fillId="6" fontId="6" numFmtId="0" xfId="0" applyAlignment="1" applyFill="1" applyFont="1">
      <alignment readingOrder="0"/>
    </xf>
    <xf borderId="0" fillId="6" fontId="6" numFmtId="0" xfId="0" applyAlignment="1" applyFont="1">
      <alignment readingOrder="0" shrinkToFit="0" wrapText="1"/>
    </xf>
    <xf borderId="0" fillId="6" fontId="6" numFmtId="164" xfId="0" applyAlignment="1" applyFont="1" applyNumberFormat="1">
      <alignment readingOrder="0"/>
    </xf>
    <xf borderId="0" fillId="6" fontId="6" numFmtId="165" xfId="0" applyAlignment="1" applyFont="1" applyNumberFormat="1">
      <alignment readingOrder="0"/>
    </xf>
    <xf borderId="0" fillId="7" fontId="6" numFmtId="0" xfId="0" applyAlignment="1" applyFill="1" applyFont="1">
      <alignment readingOrder="0" shrinkToFit="0" wrapText="1"/>
    </xf>
    <xf borderId="0" fillId="7" fontId="6" numFmtId="0" xfId="0" applyAlignment="1" applyFont="1">
      <alignment readingOrder="0"/>
    </xf>
    <xf borderId="0" fillId="7" fontId="7" numFmtId="0" xfId="0" applyAlignment="1" applyFont="1">
      <alignment readingOrder="0"/>
    </xf>
    <xf borderId="0" fillId="7" fontId="7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4" fillId="8" fontId="9" numFmtId="166" xfId="0" applyAlignment="1" applyBorder="1" applyFill="1" applyFont="1" applyNumberFormat="1">
      <alignment horizontal="left" vertical="bottom"/>
    </xf>
    <xf borderId="0" fillId="0" fontId="8" numFmtId="3" xfId="0" applyAlignment="1" applyFont="1" applyNumberFormat="1">
      <alignment readingOrder="0"/>
    </xf>
    <xf borderId="0" fillId="0" fontId="8" numFmtId="0" xfId="0" applyFont="1"/>
    <xf borderId="0" fillId="0" fontId="8" numFmtId="164" xfId="0" applyFont="1" applyNumberFormat="1"/>
    <xf borderId="0" fillId="0" fontId="8" numFmtId="165" xfId="0" applyFont="1" applyNumberFormat="1"/>
    <xf borderId="0" fillId="0" fontId="8" numFmtId="9" xfId="0" applyAlignment="1" applyFont="1" applyNumberFormat="1">
      <alignment readingOrder="0"/>
    </xf>
    <xf borderId="0" fillId="0" fontId="10" numFmtId="0" xfId="0" applyAlignment="1" applyFont="1">
      <alignment horizontal="right" readingOrder="0" shrinkToFit="0" vertical="bottom" wrapText="0"/>
    </xf>
    <xf borderId="4" fillId="8" fontId="9" numFmtId="167" xfId="0" applyAlignment="1" applyBorder="1" applyFont="1" applyNumberFormat="1">
      <alignment horizontal="left" vertical="bottom"/>
    </xf>
    <xf borderId="0" fillId="0" fontId="8" numFmtId="168" xfId="0" applyFont="1" applyNumberFormat="1"/>
    <xf borderId="0" fillId="0" fontId="8" numFmtId="10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24.63"/>
    <col customWidth="1" min="4" max="4" width="18.38"/>
    <col customWidth="1" min="5" max="5" width="17.5"/>
    <col customWidth="1" min="6" max="6" width="17.63"/>
    <col customWidth="1" min="8" max="8" width="13.75"/>
    <col customWidth="1" min="9" max="9" width="16.38"/>
    <col customWidth="1" min="10" max="10" width="19.5"/>
    <col customWidth="1" min="11" max="11" width="17.13"/>
    <col customWidth="1" min="19" max="19" width="19.0"/>
    <col customWidth="1" min="20" max="20" width="16.38"/>
    <col customWidth="1" min="22" max="22" width="15.5"/>
    <col customWidth="1" min="23" max="23" width="20.0"/>
    <col customWidth="1" min="24" max="24" width="13.88"/>
  </cols>
  <sheetData>
    <row r="1" ht="34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9" t="s">
        <v>10</v>
      </c>
      <c r="K2" s="10" t="s">
        <v>11</v>
      </c>
      <c r="L2" s="8" t="s">
        <v>12</v>
      </c>
      <c r="M2" s="11" t="s">
        <v>13</v>
      </c>
      <c r="N2" s="12" t="s">
        <v>14</v>
      </c>
      <c r="O2" s="12" t="s">
        <v>15</v>
      </c>
      <c r="P2" s="12" t="s">
        <v>16</v>
      </c>
      <c r="Q2" s="13" t="s">
        <v>17</v>
      </c>
      <c r="R2" s="13" t="s">
        <v>18</v>
      </c>
      <c r="S2" s="13" t="s">
        <v>19</v>
      </c>
      <c r="T2" s="14" t="s">
        <v>20</v>
      </c>
      <c r="U2" s="13" t="s">
        <v>21</v>
      </c>
      <c r="V2" s="15" t="s">
        <v>22</v>
      </c>
      <c r="W2" s="15" t="s">
        <v>23</v>
      </c>
      <c r="X2" s="15" t="s">
        <v>24</v>
      </c>
    </row>
    <row r="3">
      <c r="A3" s="16">
        <v>41699.0</v>
      </c>
      <c r="B3" s="17">
        <v>1.75460498E8</v>
      </c>
      <c r="C3" s="17">
        <v>1.30660608E8</v>
      </c>
      <c r="D3" s="17">
        <v>4.479989E7</v>
      </c>
      <c r="E3" s="17">
        <v>1137035.0</v>
      </c>
      <c r="F3" s="17">
        <v>1204699.0</v>
      </c>
      <c r="G3" s="17">
        <v>2119259.0</v>
      </c>
      <c r="H3" s="18">
        <f t="shared" ref="H3:I3" si="1">B3/C3</f>
        <v>1.342872199</v>
      </c>
      <c r="I3" s="18">
        <f t="shared" si="1"/>
        <v>2.91653859</v>
      </c>
      <c r="J3" s="19">
        <f t="shared" ref="J3:J43" si="3">F3/G3</f>
        <v>0.5684529357</v>
      </c>
      <c r="K3" s="20">
        <f t="shared" ref="K3:K43" si="4">E3/G3</f>
        <v>0.5365247948</v>
      </c>
      <c r="L3" s="18">
        <f t="shared" ref="L3:L43" si="5">G3/B3</f>
        <v>0.01207826847</v>
      </c>
      <c r="M3" s="15">
        <v>0.5</v>
      </c>
      <c r="N3" s="15">
        <v>75.0</v>
      </c>
      <c r="O3" s="15">
        <v>1.3</v>
      </c>
      <c r="P3" s="15">
        <v>4.27</v>
      </c>
      <c r="Q3" s="21">
        <v>0.08</v>
      </c>
      <c r="R3" s="15">
        <v>9.29</v>
      </c>
      <c r="S3" s="22">
        <v>150.0</v>
      </c>
      <c r="T3" s="17">
        <v>1591430.0</v>
      </c>
      <c r="U3" s="15">
        <v>6.5</v>
      </c>
      <c r="V3" s="15">
        <v>4.1</v>
      </c>
      <c r="W3" s="15">
        <v>4.3623E8</v>
      </c>
      <c r="X3" s="15">
        <v>1.9</v>
      </c>
    </row>
    <row r="4">
      <c r="A4" s="23">
        <v>41791.0</v>
      </c>
      <c r="B4" s="17">
        <v>1.77180703E8</v>
      </c>
      <c r="C4" s="17">
        <v>1.3133399E8</v>
      </c>
      <c r="D4" s="17">
        <v>4.5846713E7</v>
      </c>
      <c r="E4" s="17">
        <v>1012474.0</v>
      </c>
      <c r="F4" s="17">
        <v>621214.0</v>
      </c>
      <c r="G4" s="17">
        <v>2268378.0</v>
      </c>
      <c r="H4" s="18">
        <f t="shared" ref="H4:I4" si="2">B4/C4</f>
        <v>1.349084902</v>
      </c>
      <c r="I4" s="18">
        <f t="shared" si="2"/>
        <v>2.864632629</v>
      </c>
      <c r="J4" s="19">
        <f t="shared" si="3"/>
        <v>0.273858237</v>
      </c>
      <c r="K4" s="20">
        <f t="shared" si="4"/>
        <v>0.4463427171</v>
      </c>
      <c r="L4" s="18">
        <f t="shared" si="5"/>
        <v>0.01280262445</v>
      </c>
      <c r="M4" s="15">
        <v>1.95</v>
      </c>
      <c r="N4" s="15">
        <v>91.8</v>
      </c>
      <c r="O4" s="15">
        <v>2.2</v>
      </c>
      <c r="P4" s="15">
        <v>3.87</v>
      </c>
      <c r="Q4" s="21">
        <v>0.08</v>
      </c>
      <c r="R4" s="15">
        <v>8.35</v>
      </c>
      <c r="S4" s="22">
        <v>47.0769231</v>
      </c>
      <c r="T4" s="17">
        <v>700246.0</v>
      </c>
      <c r="U4" s="15">
        <v>6.5</v>
      </c>
      <c r="V4" s="15">
        <v>4.5</v>
      </c>
      <c r="W4" s="15">
        <v>4.3623E8</v>
      </c>
      <c r="X4" s="15">
        <v>1.9</v>
      </c>
    </row>
    <row r="5">
      <c r="A5" s="16">
        <v>41883.0</v>
      </c>
      <c r="B5" s="17">
        <v>2.04314999E8</v>
      </c>
      <c r="C5" s="17">
        <v>1.54150141E8</v>
      </c>
      <c r="D5" s="17">
        <v>5.0164858E7</v>
      </c>
      <c r="E5" s="17">
        <v>1793064.0</v>
      </c>
      <c r="F5" s="17">
        <v>793836.0</v>
      </c>
      <c r="G5" s="17">
        <v>2537153.0</v>
      </c>
      <c r="H5" s="18">
        <f t="shared" ref="H5:I5" si="6">B5/C5</f>
        <v>1.325428557</v>
      </c>
      <c r="I5" s="18">
        <f t="shared" si="6"/>
        <v>3.072871072</v>
      </c>
      <c r="J5" s="19">
        <f t="shared" si="3"/>
        <v>0.31288456</v>
      </c>
      <c r="K5" s="20">
        <f t="shared" si="4"/>
        <v>0.7067228504</v>
      </c>
      <c r="L5" s="18">
        <f t="shared" si="5"/>
        <v>0.01241784995</v>
      </c>
      <c r="M5" s="15">
        <v>3.34</v>
      </c>
      <c r="N5" s="15">
        <v>85.4</v>
      </c>
      <c r="O5" s="15">
        <v>5.1</v>
      </c>
      <c r="P5" s="15">
        <v>3.53</v>
      </c>
      <c r="Q5" s="21">
        <v>0.08</v>
      </c>
      <c r="R5" s="15">
        <v>7.28</v>
      </c>
      <c r="S5" s="22">
        <v>25.5688623</v>
      </c>
      <c r="T5" s="17">
        <v>1144190.0</v>
      </c>
      <c r="U5" s="15">
        <v>6.5</v>
      </c>
      <c r="V5" s="15">
        <v>4.2</v>
      </c>
      <c r="W5" s="15">
        <v>4.0582E8</v>
      </c>
      <c r="X5" s="15">
        <v>1.7</v>
      </c>
    </row>
    <row r="6">
      <c r="A6" s="16">
        <v>41974.0</v>
      </c>
      <c r="B6" s="17">
        <v>2.14286292E8</v>
      </c>
      <c r="C6" s="17">
        <v>1.669609E8</v>
      </c>
      <c r="D6" s="17">
        <v>4.7325392E7</v>
      </c>
      <c r="E6" s="17">
        <v>1531584.0</v>
      </c>
      <c r="F6" s="17">
        <v>923870.0</v>
      </c>
      <c r="G6" s="17">
        <v>2928167.0</v>
      </c>
      <c r="H6" s="18">
        <f t="shared" ref="H6:I6" si="7">B6/C6</f>
        <v>1.283451946</v>
      </c>
      <c r="I6" s="18">
        <f t="shared" si="7"/>
        <v>3.527934856</v>
      </c>
      <c r="J6" s="19">
        <f t="shared" si="3"/>
        <v>0.3155113762</v>
      </c>
      <c r="K6" s="20">
        <f t="shared" si="4"/>
        <v>0.5230521347</v>
      </c>
      <c r="L6" s="18">
        <f t="shared" si="5"/>
        <v>0.01366474249</v>
      </c>
      <c r="M6" s="15">
        <v>2.64</v>
      </c>
      <c r="N6" s="15">
        <v>88.0</v>
      </c>
      <c r="O6" s="15">
        <v>10.6</v>
      </c>
      <c r="P6" s="15">
        <v>2.4</v>
      </c>
      <c r="Q6" s="21">
        <v>0.08</v>
      </c>
      <c r="R6" s="15">
        <v>6.43</v>
      </c>
      <c r="S6" s="22">
        <v>33.3333333</v>
      </c>
      <c r="T6" s="17">
        <v>496728.0</v>
      </c>
      <c r="U6" s="15">
        <v>6.5</v>
      </c>
      <c r="V6" s="15">
        <v>4.4</v>
      </c>
      <c r="W6" s="15">
        <v>4.1818E8</v>
      </c>
      <c r="X6" s="15">
        <v>1.6</v>
      </c>
    </row>
    <row r="7">
      <c r="A7" s="16">
        <v>42064.0</v>
      </c>
      <c r="B7" s="17">
        <v>2.45970406E8</v>
      </c>
      <c r="C7" s="17">
        <v>1.88797138E8</v>
      </c>
      <c r="D7" s="17">
        <v>5.7173268E7</v>
      </c>
      <c r="E7" s="17">
        <v>1942587.0</v>
      </c>
      <c r="F7" s="17">
        <v>1226011.0</v>
      </c>
      <c r="G7" s="17">
        <v>3044023.0</v>
      </c>
      <c r="H7" s="24">
        <f t="shared" ref="H7:I7" si="8">B7/C7</f>
        <v>1.302829103</v>
      </c>
      <c r="I7" s="18">
        <f t="shared" si="8"/>
        <v>3.302192521</v>
      </c>
      <c r="J7" s="19">
        <f t="shared" si="3"/>
        <v>0.4027600974</v>
      </c>
      <c r="K7" s="20">
        <f t="shared" si="4"/>
        <v>0.6381643634</v>
      </c>
      <c r="L7" s="18">
        <f t="shared" si="5"/>
        <v>0.01237556603</v>
      </c>
      <c r="M7" s="15">
        <v>3.44</v>
      </c>
      <c r="N7" s="15">
        <v>76.6</v>
      </c>
      <c r="O7" s="15">
        <v>3.9</v>
      </c>
      <c r="P7" s="15">
        <v>6.47</v>
      </c>
      <c r="Q7" s="21">
        <v>0.08</v>
      </c>
      <c r="R7" s="15">
        <v>6.57</v>
      </c>
      <c r="S7" s="22">
        <v>22.2674419</v>
      </c>
      <c r="T7" s="17">
        <v>3759477.0</v>
      </c>
      <c r="U7" s="15">
        <v>6.5</v>
      </c>
      <c r="V7" s="15">
        <v>4.7</v>
      </c>
      <c r="W7" s="15">
        <v>3.64E8</v>
      </c>
      <c r="X7" s="15">
        <v>1.3</v>
      </c>
    </row>
    <row r="8">
      <c r="A8" s="23">
        <v>42156.0</v>
      </c>
      <c r="B8" s="17">
        <v>2.65826696E8</v>
      </c>
      <c r="C8" s="17">
        <v>2.06755537E8</v>
      </c>
      <c r="D8" s="17">
        <v>5.9071159E7</v>
      </c>
      <c r="E8" s="17">
        <v>2063903.0</v>
      </c>
      <c r="F8" s="17">
        <v>1449960.0</v>
      </c>
      <c r="G8" s="17">
        <v>4064938.0</v>
      </c>
      <c r="H8" s="18">
        <f t="shared" ref="H8:I8" si="9">B8/C8</f>
        <v>1.28570533</v>
      </c>
      <c r="I8" s="18">
        <f t="shared" si="9"/>
        <v>3.500109707</v>
      </c>
      <c r="J8" s="19">
        <f t="shared" si="3"/>
        <v>0.3566991674</v>
      </c>
      <c r="K8" s="20">
        <f t="shared" si="4"/>
        <v>0.5077329593</v>
      </c>
      <c r="L8" s="18">
        <f t="shared" si="5"/>
        <v>0.01529168462</v>
      </c>
      <c r="M8" s="15">
        <v>3.9</v>
      </c>
      <c r="N8" s="15">
        <v>99.7</v>
      </c>
      <c r="O8" s="15">
        <v>7.1</v>
      </c>
      <c r="P8" s="15">
        <v>2.83</v>
      </c>
      <c r="Q8" s="25">
        <v>0.075</v>
      </c>
      <c r="R8" s="15">
        <v>7.07</v>
      </c>
      <c r="S8" s="22">
        <v>25.5641026</v>
      </c>
      <c r="T8" s="17">
        <v>2306252.0</v>
      </c>
      <c r="U8" s="15">
        <v>6.0</v>
      </c>
      <c r="V8" s="15">
        <v>4.5</v>
      </c>
      <c r="W8" s="15">
        <v>4.7377E8</v>
      </c>
      <c r="X8" s="15">
        <v>1.7</v>
      </c>
    </row>
    <row r="9">
      <c r="A9" s="16">
        <v>42248.0</v>
      </c>
      <c r="B9" s="17">
        <v>2.92433074E8</v>
      </c>
      <c r="C9" s="17">
        <v>2.30605159E8</v>
      </c>
      <c r="D9" s="17">
        <v>6.1827915E7</v>
      </c>
      <c r="E9" s="17">
        <v>2396338.0</v>
      </c>
      <c r="F9" s="17">
        <v>1603769.0</v>
      </c>
      <c r="G9" s="17">
        <v>5189030.0</v>
      </c>
      <c r="H9" s="18">
        <f t="shared" ref="H9:I9" si="10">B9/C9</f>
        <v>1.268111586</v>
      </c>
      <c r="I9" s="18">
        <f t="shared" si="10"/>
        <v>3.729790322</v>
      </c>
      <c r="J9" s="19">
        <f t="shared" si="3"/>
        <v>0.3090691324</v>
      </c>
      <c r="K9" s="20">
        <f t="shared" si="4"/>
        <v>0.461808469</v>
      </c>
      <c r="L9" s="18">
        <f t="shared" si="5"/>
        <v>0.01774433353</v>
      </c>
      <c r="M9" s="15">
        <v>4.54</v>
      </c>
      <c r="N9" s="15">
        <v>96.6</v>
      </c>
      <c r="O9" s="15">
        <v>5.9</v>
      </c>
      <c r="P9" s="15">
        <v>1.87</v>
      </c>
      <c r="Q9" s="25">
        <v>0.075</v>
      </c>
      <c r="R9" s="15">
        <v>6.89</v>
      </c>
      <c r="S9" s="22">
        <v>21.277533</v>
      </c>
      <c r="T9" s="17">
        <v>440213.0</v>
      </c>
      <c r="U9" s="15">
        <v>6.0</v>
      </c>
      <c r="V9" s="15">
        <v>5.0</v>
      </c>
      <c r="W9" s="15">
        <v>4.5904E8</v>
      </c>
      <c r="X9" s="15">
        <v>1.5</v>
      </c>
    </row>
    <row r="10">
      <c r="A10" s="16">
        <v>42339.0</v>
      </c>
      <c r="B10" s="17">
        <v>3.17413478E8</v>
      </c>
      <c r="C10" s="17">
        <v>2.55023812E8</v>
      </c>
      <c r="D10" s="17">
        <v>6.2389666E7</v>
      </c>
      <c r="E10" s="17">
        <v>2674837.0</v>
      </c>
      <c r="F10" s="17">
        <v>1688881.0</v>
      </c>
      <c r="G10" s="17">
        <v>5351834.0</v>
      </c>
      <c r="H10" s="18">
        <f t="shared" ref="H10:I10" si="11">B10/C10</f>
        <v>1.244642512</v>
      </c>
      <c r="I10" s="18">
        <f t="shared" si="11"/>
        <v>4.087597007</v>
      </c>
      <c r="J10" s="19">
        <f t="shared" si="3"/>
        <v>0.3155705128</v>
      </c>
      <c r="K10" s="20">
        <f t="shared" si="4"/>
        <v>0.4997982</v>
      </c>
      <c r="L10" s="18">
        <f t="shared" si="5"/>
        <v>0.01686076481</v>
      </c>
      <c r="M10" s="15">
        <v>4.66</v>
      </c>
      <c r="N10" s="15">
        <v>94.0</v>
      </c>
      <c r="O10" s="15">
        <v>3.3</v>
      </c>
      <c r="P10" s="15">
        <v>4.0</v>
      </c>
      <c r="Q10" s="25">
        <v>0.075</v>
      </c>
      <c r="R10" s="15">
        <v>7.3</v>
      </c>
      <c r="S10" s="22">
        <v>20.1716738</v>
      </c>
      <c r="T10" s="17">
        <v>706804.0</v>
      </c>
      <c r="U10" s="15">
        <v>6.0</v>
      </c>
      <c r="V10" s="15">
        <v>4.3</v>
      </c>
      <c r="W10" s="15">
        <v>4.4669E8</v>
      </c>
      <c r="X10" s="15">
        <v>1.4</v>
      </c>
    </row>
    <row r="11">
      <c r="A11" s="16">
        <v>42430.0</v>
      </c>
      <c r="B11" s="17">
        <v>3.79384198E8</v>
      </c>
      <c r="C11" s="17">
        <v>3.13218328E8</v>
      </c>
      <c r="D11" s="17">
        <v>6.616587E7</v>
      </c>
      <c r="E11" s="17">
        <v>2196309.0</v>
      </c>
      <c r="F11" s="17">
        <v>2824063.0</v>
      </c>
      <c r="G11" s="17">
        <v>5663722.0</v>
      </c>
      <c r="H11" s="18">
        <f t="shared" ref="H11:I11" si="12">B11/C11</f>
        <v>1.211245205</v>
      </c>
      <c r="I11" s="18">
        <f t="shared" si="12"/>
        <v>4.733835254</v>
      </c>
      <c r="J11" s="19">
        <f t="shared" si="3"/>
        <v>0.4986231669</v>
      </c>
      <c r="K11" s="20">
        <f t="shared" si="4"/>
        <v>0.3877854527</v>
      </c>
      <c r="L11" s="18">
        <f t="shared" si="5"/>
        <v>0.01492872405</v>
      </c>
      <c r="M11" s="15">
        <v>4.83</v>
      </c>
      <c r="N11" s="15">
        <v>72.0</v>
      </c>
      <c r="O11" s="15">
        <v>6.7</v>
      </c>
      <c r="P11" s="15">
        <v>1.07</v>
      </c>
      <c r="Q11" s="21">
        <v>0.08</v>
      </c>
      <c r="R11" s="15">
        <v>8.02</v>
      </c>
      <c r="S11" s="22">
        <v>14.9068323</v>
      </c>
      <c r="T11" s="17">
        <v>333599.0</v>
      </c>
      <c r="U11" s="15">
        <v>6.5</v>
      </c>
      <c r="V11" s="15">
        <v>4.2</v>
      </c>
      <c r="W11" s="15">
        <v>3.4214E8</v>
      </c>
      <c r="X11" s="15">
        <v>1.0</v>
      </c>
    </row>
    <row r="12">
      <c r="A12" s="23">
        <v>42522.0</v>
      </c>
      <c r="B12" s="17">
        <v>3.94590272E8</v>
      </c>
      <c r="C12" s="17">
        <v>3.25887011E8</v>
      </c>
      <c r="D12" s="17">
        <v>6.8703261E7</v>
      </c>
      <c r="E12" s="17">
        <v>2405065.0</v>
      </c>
      <c r="F12" s="17">
        <v>1909734.0</v>
      </c>
      <c r="G12" s="17">
        <v>5058548.0</v>
      </c>
      <c r="H12" s="18">
        <f t="shared" ref="H12:I12" si="13">B12/C12</f>
        <v>1.210819268</v>
      </c>
      <c r="I12" s="18">
        <f t="shared" si="13"/>
        <v>4.743399458</v>
      </c>
      <c r="J12" s="19">
        <f t="shared" si="3"/>
        <v>0.3775261201</v>
      </c>
      <c r="K12" s="20">
        <f t="shared" si="4"/>
        <v>0.4754457208</v>
      </c>
      <c r="L12" s="18">
        <f t="shared" si="5"/>
        <v>0.01281974838</v>
      </c>
      <c r="M12" s="15">
        <v>4.92</v>
      </c>
      <c r="N12" s="15">
        <v>78.0</v>
      </c>
      <c r="O12" s="15">
        <v>4.4</v>
      </c>
      <c r="P12" s="15">
        <v>5.33</v>
      </c>
      <c r="Q12" s="21">
        <v>0.08</v>
      </c>
      <c r="R12" s="15">
        <v>9.5</v>
      </c>
      <c r="S12" s="22">
        <v>15.8536585</v>
      </c>
      <c r="T12" s="17">
        <v>8455088.0</v>
      </c>
      <c r="U12" s="15">
        <v>6.5</v>
      </c>
      <c r="V12" s="15">
        <v>4.6</v>
      </c>
      <c r="W12" s="15">
        <v>3.7066E8</v>
      </c>
      <c r="X12" s="15">
        <v>1.0</v>
      </c>
    </row>
    <row r="13">
      <c r="A13" s="16">
        <v>42614.0</v>
      </c>
      <c r="B13" s="17">
        <v>4.12723891E8</v>
      </c>
      <c r="C13" s="17">
        <v>3.4266024E8</v>
      </c>
      <c r="D13" s="17">
        <v>7.0063651E7</v>
      </c>
      <c r="E13" s="17">
        <v>2580607.0</v>
      </c>
      <c r="F13" s="17">
        <v>2471955.0</v>
      </c>
      <c r="G13" s="17">
        <v>6194657.0</v>
      </c>
      <c r="H13" s="18">
        <f t="shared" ref="H13:I13" si="14">B13/C13</f>
        <v>1.204469742</v>
      </c>
      <c r="I13" s="18">
        <f t="shared" si="14"/>
        <v>4.890699173</v>
      </c>
      <c r="J13" s="19">
        <f t="shared" si="3"/>
        <v>0.3990463072</v>
      </c>
      <c r="K13" s="20">
        <f t="shared" si="4"/>
        <v>0.4165859385</v>
      </c>
      <c r="L13" s="18">
        <f t="shared" si="5"/>
        <v>0.01500920382</v>
      </c>
      <c r="M13" s="15">
        <v>5.05</v>
      </c>
      <c r="N13" s="15">
        <v>82.2</v>
      </c>
      <c r="O13" s="15">
        <v>2.9</v>
      </c>
      <c r="P13" s="15">
        <v>5.0</v>
      </c>
      <c r="Q13" s="25">
        <v>0.085</v>
      </c>
      <c r="R13" s="15">
        <v>11.04</v>
      </c>
      <c r="S13" s="22">
        <v>16.2772277</v>
      </c>
      <c r="T13" s="17">
        <v>1295707.0</v>
      </c>
      <c r="U13" s="15">
        <v>7.0</v>
      </c>
      <c r="V13" s="15">
        <v>4.5</v>
      </c>
      <c r="W13" s="15">
        <v>3.9061E8</v>
      </c>
      <c r="X13" s="15">
        <v>1.0</v>
      </c>
    </row>
    <row r="14">
      <c r="A14" s="16">
        <v>42705.0</v>
      </c>
      <c r="B14" s="17">
        <v>4.28854994E8</v>
      </c>
      <c r="C14" s="17">
        <v>3.56274134E8</v>
      </c>
      <c r="D14" s="17">
        <v>7.258086E7</v>
      </c>
      <c r="E14" s="17">
        <v>2967371.0</v>
      </c>
      <c r="F14" s="17">
        <v>2444222.0</v>
      </c>
      <c r="G14" s="17">
        <v>6290599.0</v>
      </c>
      <c r="H14" s="18">
        <f t="shared" ref="H14:I14" si="15">B14/C14</f>
        <v>1.203721946</v>
      </c>
      <c r="I14" s="18">
        <f t="shared" si="15"/>
        <v>4.908651317</v>
      </c>
      <c r="J14" s="19">
        <f t="shared" si="3"/>
        <v>0.3885515513</v>
      </c>
      <c r="K14" s="20">
        <f t="shared" si="4"/>
        <v>0.4717151737</v>
      </c>
      <c r="L14" s="18">
        <f t="shared" si="5"/>
        <v>0.01466835897</v>
      </c>
      <c r="M14" s="15">
        <v>5.88</v>
      </c>
      <c r="N14" s="15">
        <v>72.5</v>
      </c>
      <c r="O14" s="15">
        <v>6.2</v>
      </c>
      <c r="P14" s="15">
        <v>4.43</v>
      </c>
      <c r="Q14" s="25">
        <v>0.085</v>
      </c>
      <c r="R14" s="15">
        <v>12.17</v>
      </c>
      <c r="S14" s="22">
        <v>12.329932</v>
      </c>
      <c r="T14" s="17">
        <v>435186.0</v>
      </c>
      <c r="U14" s="15">
        <v>7.0</v>
      </c>
      <c r="V14" s="15">
        <v>4.2</v>
      </c>
      <c r="W14" s="15">
        <v>3.4452E8</v>
      </c>
      <c r="X14" s="15">
        <v>0.8</v>
      </c>
    </row>
    <row r="15">
      <c r="A15" s="16">
        <v>42795.0</v>
      </c>
      <c r="B15" s="17">
        <v>6.40924839E8</v>
      </c>
      <c r="C15" s="17">
        <v>5.38309001E8</v>
      </c>
      <c r="D15" s="17">
        <v>1.02615838E8</v>
      </c>
      <c r="E15" s="17">
        <v>1.3033979E7</v>
      </c>
      <c r="F15" s="17">
        <v>2995745.0</v>
      </c>
      <c r="G15" s="17">
        <v>6697735.0</v>
      </c>
      <c r="H15" s="18">
        <f t="shared" ref="H15:I15" si="16">B15/C15</f>
        <v>1.190626272</v>
      </c>
      <c r="I15" s="18">
        <f t="shared" si="16"/>
        <v>5.245866637</v>
      </c>
      <c r="J15" s="19">
        <f t="shared" si="3"/>
        <v>0.4472773258</v>
      </c>
      <c r="K15" s="20">
        <f t="shared" si="4"/>
        <v>1.946027874</v>
      </c>
      <c r="L15" s="18">
        <f t="shared" si="5"/>
        <v>0.01045010989</v>
      </c>
      <c r="M15" s="15">
        <v>20.27</v>
      </c>
      <c r="N15" s="15">
        <v>61.0</v>
      </c>
      <c r="O15" s="15">
        <v>7.3</v>
      </c>
      <c r="P15" s="15">
        <v>7.77</v>
      </c>
      <c r="Q15" s="25">
        <v>0.0875</v>
      </c>
      <c r="R15" s="15">
        <v>11.53</v>
      </c>
      <c r="S15" s="22">
        <v>3.00937346</v>
      </c>
      <c r="T15" s="17">
        <v>3455847.0</v>
      </c>
      <c r="U15" s="15">
        <v>7.25</v>
      </c>
      <c r="V15" s="15">
        <v>4.1</v>
      </c>
      <c r="W15" s="15">
        <v>2.8987E8</v>
      </c>
      <c r="X15" s="15">
        <v>0.7</v>
      </c>
    </row>
    <row r="16">
      <c r="A16" s="16">
        <v>42887.0</v>
      </c>
      <c r="B16" s="17">
        <v>6.90280408E8</v>
      </c>
      <c r="C16" s="17">
        <v>5.83145147E8</v>
      </c>
      <c r="D16" s="17">
        <v>1.07135261E8</v>
      </c>
      <c r="E16" s="17">
        <v>5078654.0</v>
      </c>
      <c r="F16" s="17">
        <v>1888333.0</v>
      </c>
      <c r="G16" s="17">
        <v>4842678.0</v>
      </c>
      <c r="H16" s="18">
        <f t="shared" ref="H16:I16" si="17">B16/C16</f>
        <v>1.183719716</v>
      </c>
      <c r="I16" s="18">
        <f t="shared" si="17"/>
        <v>5.443073938</v>
      </c>
      <c r="J16" s="19">
        <f t="shared" si="3"/>
        <v>0.3899356926</v>
      </c>
      <c r="K16" s="20">
        <f t="shared" si="4"/>
        <v>1.04872841</v>
      </c>
      <c r="L16" s="18">
        <f t="shared" si="5"/>
        <v>0.007015522886</v>
      </c>
      <c r="M16" s="15">
        <v>6.01</v>
      </c>
      <c r="N16" s="15">
        <v>112.8</v>
      </c>
      <c r="O16" s="15">
        <v>4.3</v>
      </c>
      <c r="P16" s="15">
        <v>7.27</v>
      </c>
      <c r="Q16" s="25">
        <v>0.0875</v>
      </c>
      <c r="R16" s="15">
        <v>11.75</v>
      </c>
      <c r="S16" s="22">
        <v>18.7687188</v>
      </c>
      <c r="T16" s="17">
        <v>5836017.0</v>
      </c>
      <c r="U16" s="15">
        <v>7.25</v>
      </c>
      <c r="V16" s="15">
        <v>4.5</v>
      </c>
      <c r="W16" s="15">
        <v>5.3603E8</v>
      </c>
      <c r="X16" s="15">
        <v>0.9</v>
      </c>
    </row>
    <row r="17">
      <c r="A17" s="16">
        <v>42979.0</v>
      </c>
      <c r="B17" s="17">
        <v>7.47970928E8</v>
      </c>
      <c r="C17" s="17">
        <v>6.3789957E8</v>
      </c>
      <c r="D17" s="17">
        <v>1.10071358E8</v>
      </c>
      <c r="E17" s="17">
        <v>3737484.0</v>
      </c>
      <c r="F17" s="17">
        <v>2007473.0</v>
      </c>
      <c r="G17" s="17">
        <v>5799466.0</v>
      </c>
      <c r="H17" s="18">
        <f t="shared" ref="H17:I17" si="18">B17/C17</f>
        <v>1.172552802</v>
      </c>
      <c r="I17" s="18">
        <f t="shared" si="18"/>
        <v>5.795327518</v>
      </c>
      <c r="J17" s="19">
        <f t="shared" si="3"/>
        <v>0.346147904</v>
      </c>
      <c r="K17" s="20">
        <f t="shared" si="4"/>
        <v>0.6444531272</v>
      </c>
      <c r="L17" s="18">
        <f t="shared" si="5"/>
        <v>0.007753598145</v>
      </c>
      <c r="M17" s="15">
        <v>3.91</v>
      </c>
      <c r="N17" s="15">
        <v>127.0</v>
      </c>
      <c r="O17" s="15">
        <v>6.0</v>
      </c>
      <c r="P17" s="15">
        <v>7.6</v>
      </c>
      <c r="Q17" s="25">
        <v>0.0875</v>
      </c>
      <c r="R17" s="15">
        <v>11.66</v>
      </c>
      <c r="S17" s="22">
        <v>32.4808184</v>
      </c>
      <c r="T17" s="17">
        <v>2997764.0</v>
      </c>
      <c r="U17" s="15">
        <v>7.25</v>
      </c>
      <c r="V17" s="15">
        <v>4.2</v>
      </c>
      <c r="W17" s="15">
        <v>6.035E8</v>
      </c>
      <c r="X17" s="15">
        <v>1.0</v>
      </c>
    </row>
    <row r="18">
      <c r="A18" s="16">
        <v>43070.0</v>
      </c>
      <c r="B18" s="17">
        <v>7.70223988E8</v>
      </c>
      <c r="C18" s="17">
        <v>6.54315435E8</v>
      </c>
      <c r="D18" s="17">
        <v>1.15908553E8</v>
      </c>
      <c r="E18" s="17">
        <v>4427747.0</v>
      </c>
      <c r="F18" s="17">
        <v>2014108.0</v>
      </c>
      <c r="G18" s="17">
        <v>6212330.0</v>
      </c>
      <c r="H18" s="18">
        <f t="shared" ref="H18:I18" si="19">B18/C18</f>
        <v>1.177144764</v>
      </c>
      <c r="I18" s="18">
        <f t="shared" si="19"/>
        <v>5.645100539</v>
      </c>
      <c r="J18" s="19">
        <f t="shared" si="3"/>
        <v>0.3242113667</v>
      </c>
      <c r="K18" s="20">
        <f t="shared" si="4"/>
        <v>0.7127353183</v>
      </c>
      <c r="L18" s="18">
        <f t="shared" si="5"/>
        <v>0.008065614804</v>
      </c>
      <c r="M18" s="15">
        <v>5.37</v>
      </c>
      <c r="N18" s="15">
        <v>115.1</v>
      </c>
      <c r="O18" s="15">
        <v>8.0</v>
      </c>
      <c r="P18" s="15">
        <v>8.17</v>
      </c>
      <c r="Q18" s="25">
        <v>0.0875</v>
      </c>
      <c r="R18" s="15">
        <v>11.34</v>
      </c>
      <c r="S18" s="22">
        <v>21.433892</v>
      </c>
      <c r="T18" s="17">
        <v>1.5037355E8</v>
      </c>
      <c r="U18" s="15">
        <v>7.25</v>
      </c>
      <c r="V18" s="15">
        <v>4.0</v>
      </c>
      <c r="W18" s="15">
        <v>5.4696E8</v>
      </c>
      <c r="X18" s="15">
        <v>0.9</v>
      </c>
    </row>
    <row r="19">
      <c r="A19" s="16">
        <v>43160.0</v>
      </c>
      <c r="B19" s="17">
        <v>8.22362468E8</v>
      </c>
      <c r="C19" s="17">
        <v>7.04070277E8</v>
      </c>
      <c r="D19" s="17">
        <v>1.18292191E8</v>
      </c>
      <c r="E19" s="17">
        <v>5947375.0</v>
      </c>
      <c r="F19" s="17">
        <v>1288389.0</v>
      </c>
      <c r="G19" s="17">
        <v>5792567.0</v>
      </c>
      <c r="H19" s="18">
        <f t="shared" ref="H19:I19" si="20">B19/C19</f>
        <v>1.168011909</v>
      </c>
      <c r="I19" s="18">
        <f t="shared" si="20"/>
        <v>5.951959052</v>
      </c>
      <c r="J19" s="19">
        <f t="shared" si="3"/>
        <v>0.2224210786</v>
      </c>
      <c r="K19" s="20">
        <f t="shared" si="4"/>
        <v>1.026725284</v>
      </c>
      <c r="L19" s="18">
        <f t="shared" si="5"/>
        <v>0.007043812462</v>
      </c>
      <c r="M19" s="15">
        <v>5.18</v>
      </c>
      <c r="N19" s="15">
        <v>118.0</v>
      </c>
      <c r="O19" s="15">
        <v>3.7</v>
      </c>
      <c r="P19" s="15">
        <v>3.8</v>
      </c>
      <c r="Q19" s="25">
        <v>0.0875</v>
      </c>
      <c r="R19" s="15">
        <v>11.22</v>
      </c>
      <c r="S19" s="22">
        <v>22.7799228</v>
      </c>
      <c r="T19" s="17">
        <v>1226075.0</v>
      </c>
      <c r="U19" s="15">
        <v>7.25</v>
      </c>
      <c r="V19" s="15">
        <v>4.5</v>
      </c>
      <c r="W19" s="15">
        <v>5.6074E8</v>
      </c>
      <c r="X19" s="15">
        <v>0.8</v>
      </c>
    </row>
    <row r="20">
      <c r="A20" s="16">
        <v>43252.0</v>
      </c>
      <c r="B20" s="17">
        <v>8.32268808E8</v>
      </c>
      <c r="C20" s="17">
        <v>7.08934242E8</v>
      </c>
      <c r="D20" s="17">
        <v>1.23334566E8</v>
      </c>
      <c r="E20" s="17">
        <v>4324630.0</v>
      </c>
      <c r="F20" s="17">
        <v>1575735.0</v>
      </c>
      <c r="G20" s="17">
        <v>4978017.0</v>
      </c>
      <c r="H20" s="18">
        <f t="shared" ref="H20:I20" si="21">B20/C20</f>
        <v>1.1739718</v>
      </c>
      <c r="I20" s="18">
        <f t="shared" si="21"/>
        <v>5.748058026</v>
      </c>
      <c r="J20" s="19">
        <f t="shared" si="3"/>
        <v>0.316538694</v>
      </c>
      <c r="K20" s="20">
        <f t="shared" si="4"/>
        <v>0.8687455266</v>
      </c>
      <c r="L20" s="18">
        <f t="shared" si="5"/>
        <v>0.005981261045</v>
      </c>
      <c r="M20" s="15">
        <v>6.43</v>
      </c>
      <c r="N20" s="15">
        <v>98.5</v>
      </c>
      <c r="O20" s="15">
        <v>5.2</v>
      </c>
      <c r="P20" s="15">
        <v>1.0</v>
      </c>
      <c r="Q20" s="25">
        <v>0.085</v>
      </c>
      <c r="R20" s="15">
        <v>11.27</v>
      </c>
      <c r="S20" s="22">
        <v>15.318818</v>
      </c>
      <c r="T20" s="17">
        <v>457845.0</v>
      </c>
      <c r="U20" s="15">
        <v>7.25</v>
      </c>
      <c r="V20" s="15">
        <v>4.6</v>
      </c>
      <c r="W20" s="15">
        <v>4.6807E8</v>
      </c>
      <c r="X20" s="15">
        <v>0.7</v>
      </c>
    </row>
    <row r="21">
      <c r="A21" s="16">
        <v>43344.0</v>
      </c>
      <c r="B21" s="17">
        <v>9.28455208E8</v>
      </c>
      <c r="C21" s="17">
        <v>7.98485355E8</v>
      </c>
      <c r="D21" s="17">
        <v>1.29969853E8</v>
      </c>
      <c r="E21" s="17">
        <v>3190081.0</v>
      </c>
      <c r="F21" s="17">
        <v>1631793.0</v>
      </c>
      <c r="G21" s="17">
        <v>5733691.0</v>
      </c>
      <c r="H21" s="18">
        <f t="shared" ref="H21:I21" si="22">B21/C21</f>
        <v>1.162770491</v>
      </c>
      <c r="I21" s="18">
        <f t="shared" si="22"/>
        <v>6.143619744</v>
      </c>
      <c r="J21" s="19">
        <f t="shared" si="3"/>
        <v>0.2845973039</v>
      </c>
      <c r="K21" s="20">
        <f t="shared" si="4"/>
        <v>0.556374768</v>
      </c>
      <c r="L21" s="18">
        <f t="shared" si="5"/>
        <v>0.006175517085</v>
      </c>
      <c r="M21" s="15">
        <v>2.77</v>
      </c>
      <c r="N21" s="15">
        <v>86.1</v>
      </c>
      <c r="O21" s="15">
        <v>4.4</v>
      </c>
      <c r="P21" s="15">
        <v>2.07</v>
      </c>
      <c r="Q21" s="25">
        <v>0.085</v>
      </c>
      <c r="R21" s="15">
        <v>11.59</v>
      </c>
      <c r="S21" s="22">
        <v>31.0830325</v>
      </c>
      <c r="T21" s="17">
        <v>505963.0</v>
      </c>
      <c r="U21" s="15">
        <v>7.25</v>
      </c>
      <c r="V21" s="15">
        <v>4.1</v>
      </c>
      <c r="W21" s="15">
        <v>4.0915E8</v>
      </c>
      <c r="X21" s="15">
        <v>0.6</v>
      </c>
    </row>
    <row r="22">
      <c r="A22" s="16">
        <v>43435.0</v>
      </c>
      <c r="B22" s="17">
        <v>1.008279948E9</v>
      </c>
      <c r="C22" s="17">
        <v>8.69691023E8</v>
      </c>
      <c r="D22" s="17">
        <v>1.38588925E8</v>
      </c>
      <c r="E22" s="17">
        <v>3221334.0</v>
      </c>
      <c r="F22" s="17">
        <v>2133132.0</v>
      </c>
      <c r="G22" s="17">
        <v>6411129.0</v>
      </c>
      <c r="H22" s="18">
        <f t="shared" ref="H22:I22" si="23">B22/C22</f>
        <v>1.159354209</v>
      </c>
      <c r="I22" s="18">
        <f t="shared" si="23"/>
        <v>6.275328443</v>
      </c>
      <c r="J22" s="19">
        <f t="shared" si="3"/>
        <v>0.3327233004</v>
      </c>
      <c r="K22" s="20">
        <f t="shared" si="4"/>
        <v>0.5024597072</v>
      </c>
      <c r="L22" s="18">
        <f t="shared" si="5"/>
        <v>0.006358481107</v>
      </c>
      <c r="M22" s="15">
        <v>2.28</v>
      </c>
      <c r="N22" s="15">
        <v>89.9</v>
      </c>
      <c r="O22" s="15">
        <v>-3.5</v>
      </c>
      <c r="P22" s="15">
        <v>2.27</v>
      </c>
      <c r="Q22" s="25">
        <v>0.09</v>
      </c>
      <c r="R22" s="15">
        <v>12.13</v>
      </c>
      <c r="S22" s="22">
        <v>39.4298246</v>
      </c>
      <c r="T22" s="17">
        <v>4433762.0</v>
      </c>
      <c r="U22" s="15">
        <v>8.0</v>
      </c>
      <c r="V22" s="15">
        <v>4.6</v>
      </c>
      <c r="W22" s="15">
        <v>4.272E8</v>
      </c>
      <c r="X22" s="15">
        <v>0.5</v>
      </c>
    </row>
    <row r="23">
      <c r="A23" s="16">
        <v>43525.0</v>
      </c>
      <c r="B23" s="17">
        <v>1.043914844E9</v>
      </c>
      <c r="C23" s="17">
        <v>8.91980592E8</v>
      </c>
      <c r="D23" s="17">
        <v>1.51934252E8</v>
      </c>
      <c r="E23" s="17">
        <v>8881927.0</v>
      </c>
      <c r="F23" s="17">
        <v>2404967.0</v>
      </c>
      <c r="G23" s="17">
        <v>7732612.0</v>
      </c>
      <c r="H23" s="18">
        <f t="shared" ref="H23:I23" si="24">B23/C23</f>
        <v>1.170333585</v>
      </c>
      <c r="I23" s="18">
        <f t="shared" si="24"/>
        <v>5.870832813</v>
      </c>
      <c r="J23" s="19">
        <f t="shared" si="3"/>
        <v>0.3110161224</v>
      </c>
      <c r="K23" s="20">
        <f t="shared" si="4"/>
        <v>1.148632183</v>
      </c>
      <c r="L23" s="18">
        <f t="shared" si="5"/>
        <v>0.007407320668</v>
      </c>
      <c r="M23" s="15">
        <v>12.24</v>
      </c>
      <c r="N23" s="15">
        <v>88.9</v>
      </c>
      <c r="O23" s="15">
        <v>-0.1</v>
      </c>
      <c r="P23" s="15">
        <v>0.5</v>
      </c>
      <c r="Q23" s="21">
        <v>0.09</v>
      </c>
      <c r="R23" s="15">
        <v>12.19</v>
      </c>
      <c r="S23" s="22">
        <v>7.2630719</v>
      </c>
      <c r="T23" s="17">
        <v>1784534.0</v>
      </c>
      <c r="U23" s="15">
        <v>8.0</v>
      </c>
      <c r="V23" s="15">
        <v>4.7</v>
      </c>
      <c r="W23" s="15">
        <v>4.2245E8</v>
      </c>
      <c r="X23" s="15">
        <v>0.5</v>
      </c>
    </row>
    <row r="24">
      <c r="A24" s="16">
        <v>43617.0</v>
      </c>
      <c r="B24" s="17">
        <v>1.144855978E9</v>
      </c>
      <c r="C24" s="17">
        <v>9.55084702E8</v>
      </c>
      <c r="D24" s="17">
        <v>1.89771276E8</v>
      </c>
      <c r="E24" s="17">
        <v>9955273.0</v>
      </c>
      <c r="F24" s="17">
        <v>1637239.0</v>
      </c>
      <c r="G24" s="17">
        <v>5106338.0</v>
      </c>
      <c r="H24" s="18">
        <f t="shared" ref="H24:I24" si="25">B24/C24</f>
        <v>1.198695755</v>
      </c>
      <c r="I24" s="18">
        <f t="shared" si="25"/>
        <v>5.032820151</v>
      </c>
      <c r="J24" s="19">
        <f t="shared" si="3"/>
        <v>0.320628795</v>
      </c>
      <c r="K24" s="20">
        <f t="shared" si="4"/>
        <v>1.949591468</v>
      </c>
      <c r="L24" s="18">
        <f t="shared" si="5"/>
        <v>0.004460244868</v>
      </c>
      <c r="M24" s="15">
        <v>15.8</v>
      </c>
      <c r="N24" s="15">
        <v>91.0</v>
      </c>
      <c r="O24" s="15">
        <v>-1.8</v>
      </c>
      <c r="P24" s="15">
        <v>3.07</v>
      </c>
      <c r="Q24" s="25">
        <v>0.085</v>
      </c>
      <c r="R24" s="15">
        <v>11.84</v>
      </c>
      <c r="S24" s="22">
        <v>5.75949367</v>
      </c>
      <c r="T24" s="17">
        <v>1299638.0</v>
      </c>
      <c r="U24" s="15">
        <v>7.5</v>
      </c>
      <c r="V24" s="15">
        <v>4.9</v>
      </c>
      <c r="W24" s="15">
        <v>4.3243E8</v>
      </c>
      <c r="X24" s="15">
        <v>0.5</v>
      </c>
    </row>
    <row r="25">
      <c r="A25" s="16">
        <v>43709.0</v>
      </c>
      <c r="B25" s="17">
        <v>1.221164176E9</v>
      </c>
      <c r="C25" s="17">
        <v>1.023478776E9</v>
      </c>
      <c r="D25" s="17">
        <v>1.97685399E8</v>
      </c>
      <c r="E25" s="17">
        <v>2863208.0</v>
      </c>
      <c r="F25" s="17">
        <v>1969665.0</v>
      </c>
      <c r="G25" s="17">
        <v>6449678.0</v>
      </c>
      <c r="H25" s="18">
        <f t="shared" ref="H25:I25" si="26">B25/C25</f>
        <v>1.193150464</v>
      </c>
      <c r="I25" s="18">
        <f t="shared" si="26"/>
        <v>5.177310925</v>
      </c>
      <c r="J25" s="19">
        <f t="shared" si="3"/>
        <v>0.3053896644</v>
      </c>
      <c r="K25" s="20">
        <f t="shared" si="4"/>
        <v>0.4439303792</v>
      </c>
      <c r="L25" s="18">
        <f t="shared" si="5"/>
        <v>0.005281581401</v>
      </c>
      <c r="M25" s="15">
        <v>0.96</v>
      </c>
      <c r="N25" s="15">
        <v>124.1</v>
      </c>
      <c r="O25" s="15">
        <v>1.2</v>
      </c>
      <c r="P25" s="15">
        <v>3.53</v>
      </c>
      <c r="Q25" s="21">
        <v>0.08</v>
      </c>
      <c r="R25" s="15">
        <v>10.73</v>
      </c>
      <c r="S25" s="22">
        <v>129.270833</v>
      </c>
      <c r="T25" s="17">
        <v>5545061.0</v>
      </c>
      <c r="U25" s="15">
        <v>7.0</v>
      </c>
      <c r="V25" s="15">
        <v>5.1</v>
      </c>
      <c r="W25" s="15">
        <v>5.8972E8</v>
      </c>
      <c r="X25" s="15">
        <v>0.6</v>
      </c>
    </row>
    <row r="26">
      <c r="A26" s="16">
        <v>43800.0</v>
      </c>
      <c r="B26" s="17">
        <v>1.278447033E9</v>
      </c>
      <c r="C26" s="17">
        <v>1.071060816E9</v>
      </c>
      <c r="D26" s="17">
        <v>2.07386218E8</v>
      </c>
      <c r="E26" s="17">
        <v>3410080.0</v>
      </c>
      <c r="F26" s="17">
        <v>2258593.0</v>
      </c>
      <c r="G26" s="17">
        <v>6554993.0</v>
      </c>
      <c r="H26" s="18">
        <f t="shared" ref="H26:I26" si="27">B26/C26</f>
        <v>1.193626929</v>
      </c>
      <c r="I26" s="18">
        <f t="shared" si="27"/>
        <v>5.164570849</v>
      </c>
      <c r="J26" s="19">
        <f t="shared" si="3"/>
        <v>0.3445607036</v>
      </c>
      <c r="K26" s="20">
        <f t="shared" si="4"/>
        <v>0.5202263374</v>
      </c>
      <c r="L26" s="18">
        <f t="shared" si="5"/>
        <v>0.005127309017</v>
      </c>
      <c r="M26" s="15">
        <v>3.09</v>
      </c>
      <c r="N26" s="15">
        <v>177.5</v>
      </c>
      <c r="O26" s="15">
        <v>-0.3</v>
      </c>
      <c r="P26" s="15">
        <v>5.3</v>
      </c>
      <c r="Q26" s="21">
        <v>0.08</v>
      </c>
      <c r="R26" s="15">
        <v>10.21</v>
      </c>
      <c r="S26" s="22">
        <v>57.4433657</v>
      </c>
      <c r="T26" s="17">
        <v>3565625.0</v>
      </c>
      <c r="U26" s="15">
        <v>7.0</v>
      </c>
      <c r="V26" s="15">
        <v>4.5</v>
      </c>
      <c r="W26" s="15">
        <v>8.4348E8</v>
      </c>
      <c r="X26" s="15">
        <v>1.0</v>
      </c>
    </row>
    <row r="27">
      <c r="A27" s="16">
        <v>43891.0</v>
      </c>
      <c r="B27" s="17">
        <v>1.335926194E9</v>
      </c>
      <c r="C27" s="17">
        <v>1.123352952E9</v>
      </c>
      <c r="D27" s="17">
        <v>2.12573242E8</v>
      </c>
      <c r="E27" s="17">
        <v>3559844.0</v>
      </c>
      <c r="F27" s="17">
        <v>2046983.0</v>
      </c>
      <c r="G27" s="17">
        <v>6995385.0</v>
      </c>
      <c r="H27" s="18">
        <f t="shared" ref="H27:I27" si="28">B27/C27</f>
        <v>1.189231035</v>
      </c>
      <c r="I27" s="18">
        <f t="shared" si="28"/>
        <v>5.284545418</v>
      </c>
      <c r="J27" s="19">
        <f t="shared" si="3"/>
        <v>0.2926190624</v>
      </c>
      <c r="K27" s="20">
        <f t="shared" si="4"/>
        <v>0.5088846432</v>
      </c>
      <c r="L27" s="18">
        <f t="shared" si="5"/>
        <v>0.005236355894</v>
      </c>
      <c r="M27" s="15">
        <v>3.07</v>
      </c>
      <c r="N27" s="15">
        <v>90.8</v>
      </c>
      <c r="O27" s="15">
        <v>-0.9</v>
      </c>
      <c r="P27" s="15">
        <v>7.57</v>
      </c>
      <c r="Q27" s="25">
        <v>0.075</v>
      </c>
      <c r="R27" s="15">
        <v>9.51</v>
      </c>
      <c r="S27" s="22">
        <v>29.5765472</v>
      </c>
      <c r="T27" s="17">
        <v>2.923922E7</v>
      </c>
      <c r="U27" s="15">
        <v>6.25</v>
      </c>
      <c r="V27" s="15">
        <v>5.7</v>
      </c>
      <c r="W27" s="15">
        <v>4.3148E8</v>
      </c>
      <c r="X27" s="15">
        <v>0.5</v>
      </c>
    </row>
    <row r="28">
      <c r="A28" s="16">
        <v>43983.0</v>
      </c>
      <c r="B28" s="17">
        <v>7.55981865E8</v>
      </c>
      <c r="C28" s="17">
        <v>5.727591E8</v>
      </c>
      <c r="D28" s="17">
        <v>1.83222765E8</v>
      </c>
      <c r="E28" s="17">
        <v>3.7251868E7</v>
      </c>
      <c r="F28" s="17">
        <v>1676024.0</v>
      </c>
      <c r="G28" s="17">
        <v>5136441.0</v>
      </c>
      <c r="H28" s="18">
        <f t="shared" ref="H28:I28" si="29">B28/C28</f>
        <v>1.319894987</v>
      </c>
      <c r="I28" s="18">
        <f t="shared" si="29"/>
        <v>3.126025852</v>
      </c>
      <c r="J28" s="19">
        <f t="shared" si="3"/>
        <v>0.3263006428</v>
      </c>
      <c r="K28" s="20">
        <f t="shared" si="4"/>
        <v>7.252466835</v>
      </c>
      <c r="L28" s="18">
        <f t="shared" si="5"/>
        <v>0.006794397112</v>
      </c>
      <c r="M28" s="15">
        <v>29.31</v>
      </c>
      <c r="N28" s="15">
        <v>123.5</v>
      </c>
      <c r="O28" s="15">
        <v>-17.1</v>
      </c>
      <c r="P28" s="15">
        <v>5.8</v>
      </c>
      <c r="Q28" s="25">
        <v>0.065</v>
      </c>
      <c r="R28" s="15">
        <v>9.15</v>
      </c>
      <c r="S28" s="22">
        <v>4.21357898</v>
      </c>
      <c r="T28" s="17">
        <v>2.6996605E7</v>
      </c>
      <c r="U28" s="15">
        <v>5.5</v>
      </c>
      <c r="V28" s="15">
        <v>5.4</v>
      </c>
      <c r="W28" s="15">
        <v>5.8687E8</v>
      </c>
      <c r="X28" s="15">
        <v>0.6</v>
      </c>
    </row>
    <row r="29">
      <c r="A29" s="16">
        <v>44075.0</v>
      </c>
      <c r="B29" s="17">
        <v>7.78282853E8</v>
      </c>
      <c r="C29" s="17">
        <v>5.6518152E8</v>
      </c>
      <c r="D29" s="17">
        <v>2.13101333E8</v>
      </c>
      <c r="E29" s="17">
        <v>4027002.0</v>
      </c>
      <c r="F29" s="17">
        <v>3147950.0</v>
      </c>
      <c r="G29" s="17">
        <v>9192275.0</v>
      </c>
      <c r="H29" s="18">
        <f t="shared" ref="H29:I29" si="30">B29/C29</f>
        <v>1.377049365</v>
      </c>
      <c r="I29" s="18">
        <f t="shared" si="30"/>
        <v>2.652172617</v>
      </c>
      <c r="J29" s="19">
        <f t="shared" si="3"/>
        <v>0.3424560297</v>
      </c>
      <c r="K29" s="20">
        <f t="shared" si="4"/>
        <v>0.4380854576</v>
      </c>
      <c r="L29" s="18">
        <f t="shared" si="5"/>
        <v>0.01181096945</v>
      </c>
      <c r="M29" s="15">
        <v>7.27</v>
      </c>
      <c r="N29" s="15">
        <v>129.0</v>
      </c>
      <c r="O29" s="15">
        <v>-1.1</v>
      </c>
      <c r="P29" s="15">
        <v>6.23</v>
      </c>
      <c r="Q29" s="21">
        <v>0.06</v>
      </c>
      <c r="R29" s="15">
        <v>7.07</v>
      </c>
      <c r="S29" s="22">
        <v>17.7441541</v>
      </c>
      <c r="T29" s="17">
        <v>1.350419E7</v>
      </c>
      <c r="U29" s="15">
        <v>4.5</v>
      </c>
      <c r="V29" s="15">
        <v>5.8</v>
      </c>
      <c r="W29" s="15">
        <v>6.1301E8</v>
      </c>
      <c r="X29" s="15">
        <v>0.6</v>
      </c>
    </row>
    <row r="30">
      <c r="A30" s="16">
        <v>44166.0</v>
      </c>
      <c r="B30" s="17">
        <v>8.19956513E8</v>
      </c>
      <c r="C30" s="17">
        <v>5.94914907E8</v>
      </c>
      <c r="D30" s="17">
        <v>2.25041606E8</v>
      </c>
      <c r="E30" s="17">
        <v>4046735.0</v>
      </c>
      <c r="F30" s="17">
        <v>2390509.0</v>
      </c>
      <c r="G30" s="17">
        <v>7657752.0</v>
      </c>
      <c r="H30" s="18">
        <f t="shared" ref="H30:I30" si="31">B30/C30</f>
        <v>1.378275285</v>
      </c>
      <c r="I30" s="18">
        <f t="shared" si="31"/>
        <v>2.643577415</v>
      </c>
      <c r="J30" s="19">
        <f t="shared" si="3"/>
        <v>0.3121685058</v>
      </c>
      <c r="K30" s="20">
        <f t="shared" si="4"/>
        <v>0.5284494719</v>
      </c>
      <c r="L30" s="18">
        <f t="shared" si="5"/>
        <v>0.009339217237</v>
      </c>
      <c r="M30" s="15">
        <v>7.2</v>
      </c>
      <c r="N30" s="15">
        <v>135.0</v>
      </c>
      <c r="O30" s="15">
        <v>-0.5</v>
      </c>
      <c r="P30" s="15">
        <v>5.1</v>
      </c>
      <c r="Q30" s="21">
        <v>0.06</v>
      </c>
      <c r="R30" s="15">
        <v>5.93</v>
      </c>
      <c r="S30" s="22">
        <v>18.75</v>
      </c>
      <c r="T30" s="17">
        <v>8.2582349E7</v>
      </c>
      <c r="U30" s="15">
        <v>4.5</v>
      </c>
      <c r="V30" s="15">
        <v>5.2</v>
      </c>
      <c r="W30" s="15">
        <v>6.4152E8</v>
      </c>
      <c r="X30" s="15">
        <v>0.6</v>
      </c>
    </row>
    <row r="31">
      <c r="A31" s="16">
        <v>44256.0</v>
      </c>
      <c r="B31" s="17">
        <v>8.69540941E8</v>
      </c>
      <c r="C31" s="17">
        <v>6.3675164E8</v>
      </c>
      <c r="D31" s="17">
        <v>2.32789301E8</v>
      </c>
      <c r="E31" s="17">
        <v>7871586.0</v>
      </c>
      <c r="F31" s="17">
        <v>3244730.0</v>
      </c>
      <c r="G31" s="17">
        <v>1.1611759E7</v>
      </c>
      <c r="H31" s="18">
        <f t="shared" ref="H31:I31" si="32">B31/C31</f>
        <v>1.365588852</v>
      </c>
      <c r="I31" s="18">
        <f t="shared" si="32"/>
        <v>2.735313166</v>
      </c>
      <c r="J31" s="19">
        <f t="shared" si="3"/>
        <v>0.2794348384</v>
      </c>
      <c r="K31" s="20">
        <f t="shared" si="4"/>
        <v>0.6778978103</v>
      </c>
      <c r="L31" s="18">
        <f t="shared" si="5"/>
        <v>0.01335389566</v>
      </c>
      <c r="M31" s="15">
        <v>15.23</v>
      </c>
      <c r="N31" s="26">
        <v>292.0</v>
      </c>
      <c r="O31" s="15">
        <v>5.2</v>
      </c>
      <c r="P31" s="15">
        <v>4.33</v>
      </c>
      <c r="Q31" s="21">
        <v>0.06</v>
      </c>
      <c r="R31" s="15">
        <v>5.74</v>
      </c>
      <c r="S31" s="22">
        <v>19.1726855</v>
      </c>
      <c r="T31" s="17">
        <v>2.8999706E7</v>
      </c>
      <c r="U31" s="15">
        <v>4.5</v>
      </c>
      <c r="V31" s="15">
        <v>5.7</v>
      </c>
      <c r="W31" s="15">
        <v>1.388E9</v>
      </c>
      <c r="X31" s="15">
        <v>1.2</v>
      </c>
    </row>
    <row r="32">
      <c r="A32" s="16">
        <v>44348.0</v>
      </c>
      <c r="B32" s="17">
        <v>9.25887499E8</v>
      </c>
      <c r="C32" s="17">
        <v>6.85959297E8</v>
      </c>
      <c r="D32" s="17">
        <v>2.39928202E8</v>
      </c>
      <c r="E32" s="17">
        <v>4134295.0</v>
      </c>
      <c r="F32" s="17">
        <v>3043184.0</v>
      </c>
      <c r="G32" s="17">
        <v>1.0428243E7</v>
      </c>
      <c r="H32" s="18">
        <f t="shared" ref="H32:I32" si="33">B32/C32</f>
        <v>1.349770319</v>
      </c>
      <c r="I32" s="18">
        <f t="shared" si="33"/>
        <v>2.859019037</v>
      </c>
      <c r="J32" s="19">
        <f t="shared" si="3"/>
        <v>0.2918213548</v>
      </c>
      <c r="K32" s="20">
        <f t="shared" si="4"/>
        <v>0.3964517321</v>
      </c>
      <c r="L32" s="18">
        <f t="shared" si="5"/>
        <v>0.01126296987</v>
      </c>
      <c r="M32" s="15">
        <v>7.7</v>
      </c>
      <c r="N32" s="15">
        <v>394.5</v>
      </c>
      <c r="O32" s="15">
        <v>13.2</v>
      </c>
      <c r="P32" s="15">
        <v>5.9</v>
      </c>
      <c r="Q32" s="21">
        <v>0.06</v>
      </c>
      <c r="R32" s="15">
        <v>5.67</v>
      </c>
      <c r="S32" s="22">
        <v>51.2337662</v>
      </c>
      <c r="T32" s="17">
        <v>3.5471102E7</v>
      </c>
      <c r="U32" s="15">
        <v>4.5</v>
      </c>
      <c r="V32" s="15">
        <v>5.1</v>
      </c>
      <c r="W32" s="15">
        <v>1.875E9</v>
      </c>
      <c r="X32" s="15">
        <v>1.4</v>
      </c>
    </row>
    <row r="33">
      <c r="A33" s="16">
        <v>44440.0</v>
      </c>
      <c r="B33" s="17">
        <v>9.59475963E8</v>
      </c>
      <c r="C33" s="17">
        <v>7.11753253E8</v>
      </c>
      <c r="D33" s="17">
        <v>2.4772271E8</v>
      </c>
      <c r="E33" s="17">
        <v>1.0507156E7</v>
      </c>
      <c r="F33" s="17">
        <v>3160344.0</v>
      </c>
      <c r="G33" s="17">
        <v>1.2521936E7</v>
      </c>
      <c r="H33" s="18">
        <f t="shared" ref="H33:I33" si="34">B33/C33</f>
        <v>1.348045771</v>
      </c>
      <c r="I33" s="18">
        <f t="shared" si="34"/>
        <v>2.873185317</v>
      </c>
      <c r="J33" s="19">
        <f t="shared" si="3"/>
        <v>0.2523846153</v>
      </c>
      <c r="K33" s="20">
        <f t="shared" si="4"/>
        <v>0.8390999603</v>
      </c>
      <c r="L33" s="18">
        <f t="shared" si="5"/>
        <v>0.0130508074</v>
      </c>
      <c r="M33" s="15">
        <v>19.17</v>
      </c>
      <c r="N33" s="15">
        <v>620.0</v>
      </c>
      <c r="O33" s="15">
        <v>-2.1</v>
      </c>
      <c r="P33" s="15">
        <v>6.57</v>
      </c>
      <c r="Q33" s="21">
        <v>0.06</v>
      </c>
      <c r="R33" s="15">
        <v>5.74</v>
      </c>
      <c r="S33" s="22">
        <v>32.3422014</v>
      </c>
      <c r="T33" s="17">
        <v>1.7066928E7</v>
      </c>
      <c r="U33" s="15">
        <v>5.0</v>
      </c>
      <c r="V33" s="15">
        <v>5.2</v>
      </c>
      <c r="W33" s="15">
        <v>2.946E9</v>
      </c>
      <c r="X33" s="15">
        <v>2.1</v>
      </c>
    </row>
    <row r="34">
      <c r="A34" s="16">
        <v>44531.0</v>
      </c>
      <c r="B34" s="17">
        <v>9.98852994E8</v>
      </c>
      <c r="C34" s="17">
        <v>7.51972496E8</v>
      </c>
      <c r="D34" s="17">
        <v>2.46880498E8</v>
      </c>
      <c r="E34" s="17">
        <v>9718785.0</v>
      </c>
      <c r="F34" s="17">
        <v>4253456.0</v>
      </c>
      <c r="G34" s="17">
        <v>1.3641745E7</v>
      </c>
      <c r="H34" s="18">
        <f t="shared" ref="H34:I34" si="35">B34/C34</f>
        <v>1.328310542</v>
      </c>
      <c r="I34" s="18">
        <f t="shared" si="35"/>
        <v>3.045896707</v>
      </c>
      <c r="J34" s="19">
        <f t="shared" si="3"/>
        <v>0.3117970612</v>
      </c>
      <c r="K34" s="20">
        <f t="shared" si="4"/>
        <v>0.7124297515</v>
      </c>
      <c r="L34" s="18">
        <f t="shared" si="5"/>
        <v>0.01365741013</v>
      </c>
      <c r="M34" s="15">
        <v>19.36</v>
      </c>
      <c r="N34" s="26">
        <v>1162.0</v>
      </c>
      <c r="O34" s="15">
        <v>2.7</v>
      </c>
      <c r="P34" s="15">
        <v>11.13</v>
      </c>
      <c r="Q34" s="21">
        <v>0.06</v>
      </c>
      <c r="R34" s="15">
        <v>7.15</v>
      </c>
      <c r="S34" s="22">
        <v>60.0206612</v>
      </c>
      <c r="T34" s="17">
        <v>9330170.0</v>
      </c>
      <c r="U34" s="15">
        <v>5.0</v>
      </c>
      <c r="V34" s="15">
        <v>4.6</v>
      </c>
      <c r="W34" s="15">
        <v>5.522E9</v>
      </c>
      <c r="X34" s="15">
        <v>3.7</v>
      </c>
    </row>
    <row r="35">
      <c r="A35" s="16">
        <v>44621.0</v>
      </c>
      <c r="B35" s="17">
        <v>1.354157417E9</v>
      </c>
      <c r="C35" s="17">
        <v>9.51400782E8</v>
      </c>
      <c r="D35" s="17">
        <v>4.02756635E8</v>
      </c>
      <c r="E35" s="17">
        <v>5.3417325E7</v>
      </c>
      <c r="F35" s="17">
        <v>4980287.0</v>
      </c>
      <c r="G35" s="17">
        <v>1.8691138E7</v>
      </c>
      <c r="H35" s="18">
        <f t="shared" ref="H35:I35" si="36">B35/C35</f>
        <v>1.423330149</v>
      </c>
      <c r="I35" s="18">
        <f t="shared" si="36"/>
        <v>2.362222492</v>
      </c>
      <c r="J35" s="19">
        <f t="shared" si="3"/>
        <v>0.2664517805</v>
      </c>
      <c r="K35" s="20">
        <f t="shared" si="4"/>
        <v>2.857895811</v>
      </c>
      <c r="L35" s="18">
        <f t="shared" si="5"/>
        <v>0.0138027808</v>
      </c>
      <c r="M35" s="15">
        <v>82.8</v>
      </c>
      <c r="N35" s="15">
        <v>597.0</v>
      </c>
      <c r="O35" s="15">
        <v>-0.6</v>
      </c>
      <c r="P35" s="15">
        <v>18.6</v>
      </c>
      <c r="Q35" s="25">
        <v>0.075</v>
      </c>
      <c r="R35" s="15">
        <v>8.57</v>
      </c>
      <c r="S35" s="22">
        <v>7.21014493</v>
      </c>
      <c r="T35" s="17">
        <v>5414420.0</v>
      </c>
      <c r="U35" s="15">
        <v>6.5</v>
      </c>
      <c r="V35" s="15">
        <v>4.3</v>
      </c>
      <c r="W35" s="15">
        <v>2.839E9</v>
      </c>
      <c r="X35" s="15">
        <v>1.8</v>
      </c>
    </row>
    <row r="36">
      <c r="A36" s="16">
        <v>44713.0</v>
      </c>
      <c r="B36" s="17">
        <v>1.692316684E9</v>
      </c>
      <c r="C36" s="17">
        <v>1.217095996E9</v>
      </c>
      <c r="D36" s="17">
        <v>4.75220688E8</v>
      </c>
      <c r="E36" s="17">
        <v>2.0627625E7</v>
      </c>
      <c r="F36" s="17">
        <v>7390062.0</v>
      </c>
      <c r="G36" s="17">
        <v>2.0676025E7</v>
      </c>
      <c r="H36" s="18">
        <f t="shared" ref="H36:I36" si="37">B36/C36</f>
        <v>1.390454565</v>
      </c>
      <c r="I36" s="18">
        <f t="shared" si="37"/>
        <v>2.561117449</v>
      </c>
      <c r="J36" s="19">
        <f t="shared" si="3"/>
        <v>0.3574217965</v>
      </c>
      <c r="K36" s="20">
        <f t="shared" si="4"/>
        <v>0.9976591245</v>
      </c>
      <c r="L36" s="18">
        <f t="shared" si="5"/>
        <v>0.01221758622</v>
      </c>
      <c r="M36" s="15">
        <v>36.11</v>
      </c>
      <c r="N36" s="15">
        <v>392.25</v>
      </c>
      <c r="O36" s="15">
        <v>-5.3</v>
      </c>
      <c r="P36" s="15">
        <v>46.0</v>
      </c>
      <c r="Q36" s="25">
        <v>0.145</v>
      </c>
      <c r="R36" s="15">
        <v>14.33</v>
      </c>
      <c r="S36" s="22">
        <v>10.8626419</v>
      </c>
      <c r="T36" s="17">
        <v>6233504.0</v>
      </c>
      <c r="U36" s="15">
        <v>13.5</v>
      </c>
      <c r="V36" s="15">
        <v>4.6</v>
      </c>
      <c r="W36" s="15">
        <v>1.864E9</v>
      </c>
      <c r="X36" s="15">
        <v>0.8</v>
      </c>
    </row>
    <row r="37">
      <c r="A37" s="16">
        <v>44805.0</v>
      </c>
      <c r="B37" s="17">
        <v>1.70243081E9</v>
      </c>
      <c r="C37" s="17">
        <v>1.231423914E9</v>
      </c>
      <c r="D37" s="17">
        <v>4.71006896E8</v>
      </c>
      <c r="E37" s="17">
        <v>318783.0</v>
      </c>
      <c r="F37" s="17">
        <v>6502012.0</v>
      </c>
      <c r="G37" s="17">
        <v>1.8567194E7</v>
      </c>
      <c r="H37" s="18">
        <f t="shared" ref="H37:I37" si="38">B37/C37</f>
        <v>1.382489645</v>
      </c>
      <c r="I37" s="18">
        <f t="shared" si="38"/>
        <v>2.614449861</v>
      </c>
      <c r="J37" s="19">
        <f t="shared" si="3"/>
        <v>0.3501881868</v>
      </c>
      <c r="K37" s="20">
        <f t="shared" si="4"/>
        <v>0.01716915329</v>
      </c>
      <c r="L37" s="18">
        <f t="shared" si="5"/>
        <v>0.01090628406</v>
      </c>
      <c r="M37" s="15">
        <v>3.54</v>
      </c>
      <c r="N37" s="15">
        <v>503.5</v>
      </c>
      <c r="O37" s="15">
        <v>-11.2</v>
      </c>
      <c r="P37" s="15">
        <v>70.2</v>
      </c>
      <c r="Q37" s="25">
        <v>0.155</v>
      </c>
      <c r="R37" s="15">
        <v>23.47</v>
      </c>
      <c r="S37" s="22">
        <v>142.231638</v>
      </c>
      <c r="T37" s="17">
        <v>3592241.0</v>
      </c>
      <c r="U37" s="15">
        <v>14.5</v>
      </c>
      <c r="V37" s="15">
        <v>5.0</v>
      </c>
      <c r="W37" s="15">
        <v>2.393E9</v>
      </c>
      <c r="X37" s="15">
        <v>0.8</v>
      </c>
    </row>
    <row r="38">
      <c r="A38" s="16">
        <v>44896.0</v>
      </c>
      <c r="B38" s="17">
        <v>1.731428825E9</v>
      </c>
      <c r="C38" s="17">
        <v>1.25370896E9</v>
      </c>
      <c r="D38" s="17">
        <v>4.77719865E8</v>
      </c>
      <c r="E38" s="17">
        <v>5741971.0</v>
      </c>
      <c r="F38" s="17">
        <v>8145351.0</v>
      </c>
      <c r="G38" s="17">
        <v>2.2698782E7</v>
      </c>
      <c r="H38" s="18">
        <f t="shared" ref="H38:I38" si="39">B38/C38</f>
        <v>1.381045267</v>
      </c>
      <c r="I38" s="18">
        <f t="shared" si="39"/>
        <v>2.624360115</v>
      </c>
      <c r="J38" s="19">
        <f t="shared" si="3"/>
        <v>0.3588452896</v>
      </c>
      <c r="K38" s="20">
        <f t="shared" si="4"/>
        <v>0.2529638374</v>
      </c>
      <c r="L38" s="18">
        <f t="shared" si="5"/>
        <v>0.01310985567</v>
      </c>
      <c r="M38" s="15">
        <v>11.26</v>
      </c>
      <c r="N38" s="15">
        <v>398.0</v>
      </c>
      <c r="O38" s="15">
        <v>-12.4</v>
      </c>
      <c r="P38" s="15">
        <v>64.93</v>
      </c>
      <c r="Q38" s="25">
        <v>0.155</v>
      </c>
      <c r="R38" s="15">
        <v>27.5</v>
      </c>
      <c r="S38" s="22">
        <v>35.3463588</v>
      </c>
      <c r="T38" s="17">
        <v>2630541.0</v>
      </c>
      <c r="U38" s="15">
        <v>14.5</v>
      </c>
      <c r="V38" s="15">
        <v>4.8</v>
      </c>
      <c r="W38" s="15">
        <v>1.891E9</v>
      </c>
      <c r="X38" s="15">
        <v>0.7</v>
      </c>
    </row>
    <row r="39">
      <c r="A39" s="16">
        <v>44986.0</v>
      </c>
      <c r="B39" s="17">
        <v>1.566181054E9</v>
      </c>
      <c r="C39" s="17">
        <v>1.13216364E9</v>
      </c>
      <c r="D39" s="17">
        <v>4.34019414E8</v>
      </c>
      <c r="E39" s="17">
        <v>4301943.0</v>
      </c>
      <c r="F39" s="17">
        <v>3872461.0</v>
      </c>
      <c r="G39" s="17">
        <v>2.0740569E7</v>
      </c>
      <c r="H39" s="18">
        <f t="shared" ref="H39:I39" si="40">B39/C39</f>
        <v>1.383352193</v>
      </c>
      <c r="I39" s="18">
        <f t="shared" si="40"/>
        <v>2.608555294</v>
      </c>
      <c r="J39" s="19">
        <f t="shared" si="3"/>
        <v>0.1867094871</v>
      </c>
      <c r="K39" s="20">
        <f t="shared" si="4"/>
        <v>0.2074168264</v>
      </c>
      <c r="L39" s="18">
        <f t="shared" si="5"/>
        <v>0.01324276586</v>
      </c>
      <c r="M39" s="15">
        <v>3.74</v>
      </c>
      <c r="N39" s="15">
        <v>375.0</v>
      </c>
      <c r="O39" s="15">
        <v>-10.7</v>
      </c>
      <c r="P39" s="15">
        <v>52.0</v>
      </c>
      <c r="Q39" s="25">
        <v>0.165</v>
      </c>
      <c r="R39" s="15">
        <v>26.54</v>
      </c>
      <c r="S39" s="22">
        <v>100.26738</v>
      </c>
      <c r="T39" s="17">
        <v>1133028.0</v>
      </c>
      <c r="U39" s="15">
        <v>15.5</v>
      </c>
      <c r="V39" s="15">
        <v>4.7</v>
      </c>
      <c r="W39" s="15">
        <v>1.782E9</v>
      </c>
      <c r="X39" s="15">
        <v>0.6</v>
      </c>
    </row>
    <row r="40">
      <c r="A40" s="16">
        <v>45078.0</v>
      </c>
      <c r="B40" s="17">
        <v>1.534786904E9</v>
      </c>
      <c r="C40" s="17">
        <v>1.112947076E9</v>
      </c>
      <c r="D40" s="17">
        <v>4.21839828E8</v>
      </c>
      <c r="E40" s="17">
        <v>1238233.0</v>
      </c>
      <c r="F40" s="17">
        <v>6531003.0</v>
      </c>
      <c r="G40" s="17">
        <v>2.301371E7</v>
      </c>
      <c r="H40" s="18">
        <f t="shared" ref="H40:I40" si="41">B40/C40</f>
        <v>1.379029549</v>
      </c>
      <c r="I40" s="18">
        <f t="shared" si="41"/>
        <v>2.638316731</v>
      </c>
      <c r="J40" s="19">
        <f t="shared" si="3"/>
        <v>0.2837874902</v>
      </c>
      <c r="K40" s="20">
        <f t="shared" si="4"/>
        <v>0.05380414544</v>
      </c>
      <c r="L40" s="18">
        <f t="shared" si="5"/>
        <v>0.01499472659</v>
      </c>
      <c r="M40" s="15">
        <v>8.65</v>
      </c>
      <c r="N40" s="15">
        <v>363.0</v>
      </c>
      <c r="O40" s="15">
        <v>-3.0</v>
      </c>
      <c r="P40" s="15">
        <v>22.17</v>
      </c>
      <c r="Q40" s="21">
        <v>0.14</v>
      </c>
      <c r="R40" s="15">
        <v>21.67</v>
      </c>
      <c r="S40" s="22">
        <v>41.9653179</v>
      </c>
      <c r="T40" s="17">
        <v>4019027.0</v>
      </c>
      <c r="U40" s="15">
        <v>13.0</v>
      </c>
      <c r="V40" s="15">
        <v>5.2</v>
      </c>
      <c r="W40" s="15">
        <v>1.725E9</v>
      </c>
      <c r="X40" s="15">
        <v>0.7</v>
      </c>
    </row>
    <row r="41">
      <c r="A41" s="16">
        <v>45170.0</v>
      </c>
      <c r="B41" s="17">
        <v>1.635212921E9</v>
      </c>
      <c r="C41" s="17">
        <v>1.197823452E9</v>
      </c>
      <c r="D41" s="17">
        <v>4.37389469E8</v>
      </c>
      <c r="E41" s="17">
        <v>1802185.0</v>
      </c>
      <c r="F41" s="17">
        <v>5020882.0</v>
      </c>
      <c r="G41" s="17">
        <v>1.8155848E7</v>
      </c>
      <c r="H41" s="18">
        <f t="shared" ref="H41:I41" si="42">B41/C41</f>
        <v>1.365153536</v>
      </c>
      <c r="I41" s="18">
        <f t="shared" si="42"/>
        <v>2.738574056</v>
      </c>
      <c r="J41" s="19">
        <f t="shared" si="3"/>
        <v>0.2765435137</v>
      </c>
      <c r="K41" s="20">
        <f t="shared" si="4"/>
        <v>0.09926195681</v>
      </c>
      <c r="L41" s="18">
        <f t="shared" si="5"/>
        <v>0.01110304827</v>
      </c>
      <c r="M41" s="15">
        <v>2.57</v>
      </c>
      <c r="N41" s="15">
        <v>415.0</v>
      </c>
      <c r="O41" s="15">
        <v>1.6</v>
      </c>
      <c r="P41" s="15">
        <v>2.5</v>
      </c>
      <c r="Q41" s="21">
        <v>0.12</v>
      </c>
      <c r="R41" s="15">
        <v>18.17</v>
      </c>
      <c r="S41" s="22">
        <v>161.478599</v>
      </c>
      <c r="T41" s="17">
        <v>1326210.0</v>
      </c>
      <c r="U41" s="15">
        <v>11.0</v>
      </c>
      <c r="V41" s="15">
        <v>5.2</v>
      </c>
      <c r="W41" s="15">
        <v>1.972E9</v>
      </c>
      <c r="X41" s="15">
        <v>0.8</v>
      </c>
    </row>
    <row r="42">
      <c r="A42" s="16">
        <v>45261.0</v>
      </c>
      <c r="B42" s="17">
        <v>1.734427511E9</v>
      </c>
      <c r="C42" s="17">
        <v>1.244655907E9</v>
      </c>
      <c r="D42" s="17">
        <v>4.89771604E8</v>
      </c>
      <c r="E42" s="17">
        <v>2.8972562E7</v>
      </c>
      <c r="F42" s="17">
        <v>5075172.0</v>
      </c>
      <c r="G42" s="17">
        <v>1.925836E7</v>
      </c>
      <c r="H42" s="18">
        <f t="shared" ref="H42:I42" si="43">B42/C42</f>
        <v>1.393499602</v>
      </c>
      <c r="I42" s="18">
        <f t="shared" si="43"/>
        <v>2.541298632</v>
      </c>
      <c r="J42" s="19">
        <f t="shared" si="3"/>
        <v>0.263530851</v>
      </c>
      <c r="K42" s="20">
        <f t="shared" si="4"/>
        <v>1.50441481</v>
      </c>
      <c r="L42" s="18">
        <f t="shared" si="5"/>
        <v>0.0111035831</v>
      </c>
      <c r="M42" s="15">
        <v>61.87</v>
      </c>
      <c r="N42" s="15">
        <v>355.25</v>
      </c>
      <c r="O42" s="15">
        <v>4.5</v>
      </c>
      <c r="P42" s="15">
        <v>2.67</v>
      </c>
      <c r="Q42" s="21">
        <v>0.1</v>
      </c>
      <c r="R42" s="15">
        <v>14.01</v>
      </c>
      <c r="S42" s="22">
        <v>5.74187813</v>
      </c>
      <c r="T42" s="17">
        <v>2921610.0</v>
      </c>
      <c r="U42" s="15">
        <v>9.0</v>
      </c>
      <c r="V42" s="15">
        <v>5.2</v>
      </c>
      <c r="W42" s="15">
        <v>1.688E9</v>
      </c>
      <c r="X42" s="15">
        <v>0.6</v>
      </c>
    </row>
    <row r="43">
      <c r="A43" s="16">
        <v>45352.0</v>
      </c>
      <c r="B43" s="17">
        <v>1.735118871E9</v>
      </c>
      <c r="C43" s="17">
        <v>1.246425984E9</v>
      </c>
      <c r="D43" s="17">
        <v>4.88692887E8</v>
      </c>
      <c r="E43" s="17">
        <v>1.0283239E7</v>
      </c>
      <c r="F43" s="17">
        <v>1.1085261E7</v>
      </c>
      <c r="G43" s="17">
        <v>2.5509152E7</v>
      </c>
      <c r="H43" s="18">
        <f t="shared" ref="H43:I43" si="44">B43/C43</f>
        <v>1.392075336</v>
      </c>
      <c r="I43" s="18">
        <f t="shared" si="44"/>
        <v>2.550530235</v>
      </c>
      <c r="J43" s="19">
        <f t="shared" si="3"/>
        <v>0.4345601532</v>
      </c>
      <c r="K43" s="20">
        <f t="shared" si="4"/>
        <v>0.4031195941</v>
      </c>
      <c r="L43" s="18">
        <f t="shared" si="5"/>
        <v>0.014701674</v>
      </c>
      <c r="M43" s="15">
        <v>5.05</v>
      </c>
      <c r="N43" s="15">
        <v>397.5</v>
      </c>
      <c r="O43" s="15">
        <v>5.3</v>
      </c>
      <c r="P43" s="15">
        <v>4.7</v>
      </c>
      <c r="Q43" s="25">
        <v>0.095</v>
      </c>
      <c r="R43" s="15">
        <v>11.97</v>
      </c>
      <c r="S43" s="22">
        <v>78.7128713</v>
      </c>
      <c r="T43" s="17">
        <v>4732915.0</v>
      </c>
      <c r="U43" s="15">
        <v>8.5</v>
      </c>
      <c r="W43" s="15">
        <v>1.889E9</v>
      </c>
      <c r="X43" s="15">
        <v>0.6</v>
      </c>
    </row>
    <row r="44">
      <c r="A44" s="27"/>
      <c r="J44" s="19"/>
      <c r="K44" s="20"/>
    </row>
    <row r="45">
      <c r="A45" s="27"/>
      <c r="J45" s="19"/>
      <c r="K45" s="20"/>
    </row>
    <row r="46">
      <c r="A46" s="27"/>
      <c r="J46" s="19"/>
      <c r="K46" s="20"/>
    </row>
    <row r="47">
      <c r="A47" s="27"/>
      <c r="J47" s="19"/>
      <c r="K47" s="20"/>
    </row>
    <row r="48">
      <c r="A48" s="27"/>
      <c r="J48" s="19"/>
      <c r="K48" s="20"/>
    </row>
    <row r="49">
      <c r="A49" s="27"/>
      <c r="J49" s="19"/>
      <c r="K49" s="20"/>
    </row>
    <row r="50">
      <c r="A50" s="27"/>
      <c r="J50" s="19"/>
      <c r="K50" s="20"/>
    </row>
    <row r="51">
      <c r="A51" s="27"/>
      <c r="J51" s="19"/>
      <c r="K51" s="20"/>
    </row>
    <row r="52">
      <c r="A52" s="27"/>
      <c r="J52" s="19"/>
      <c r="K52" s="20"/>
    </row>
    <row r="53">
      <c r="A53" s="27"/>
      <c r="J53" s="19"/>
      <c r="K53" s="20"/>
    </row>
    <row r="54">
      <c r="A54" s="27"/>
      <c r="J54" s="19"/>
      <c r="K54" s="20"/>
    </row>
    <row r="55">
      <c r="A55" s="27"/>
      <c r="J55" s="19"/>
      <c r="K55" s="20"/>
    </row>
    <row r="56">
      <c r="A56" s="27"/>
      <c r="J56" s="19"/>
      <c r="K56" s="20"/>
    </row>
    <row r="57">
      <c r="A57" s="27"/>
      <c r="J57" s="19"/>
      <c r="K57" s="20"/>
    </row>
    <row r="58">
      <c r="A58" s="27"/>
      <c r="J58" s="19"/>
      <c r="K58" s="20"/>
    </row>
    <row r="59">
      <c r="A59" s="27"/>
      <c r="J59" s="19"/>
      <c r="K59" s="20"/>
    </row>
    <row r="60">
      <c r="A60" s="27"/>
      <c r="J60" s="19"/>
      <c r="K60" s="20"/>
    </row>
    <row r="61">
      <c r="A61" s="27"/>
      <c r="J61" s="19"/>
      <c r="K61" s="20"/>
    </row>
    <row r="62">
      <c r="A62" s="27"/>
      <c r="J62" s="19"/>
      <c r="K62" s="20"/>
    </row>
    <row r="63">
      <c r="A63" s="27"/>
      <c r="J63" s="19"/>
      <c r="K63" s="20"/>
    </row>
    <row r="64">
      <c r="A64" s="27"/>
      <c r="J64" s="19"/>
      <c r="K64" s="20"/>
    </row>
    <row r="65">
      <c r="A65" s="27"/>
      <c r="J65" s="19"/>
      <c r="K65" s="20"/>
    </row>
    <row r="66">
      <c r="A66" s="27"/>
      <c r="J66" s="19"/>
      <c r="K66" s="20"/>
    </row>
    <row r="67">
      <c r="A67" s="27"/>
      <c r="J67" s="19"/>
      <c r="K67" s="20"/>
    </row>
    <row r="68">
      <c r="A68" s="27"/>
      <c r="J68" s="19"/>
      <c r="K68" s="20"/>
    </row>
    <row r="69">
      <c r="A69" s="27"/>
      <c r="J69" s="19"/>
      <c r="K69" s="20"/>
    </row>
    <row r="70">
      <c r="A70" s="27"/>
      <c r="J70" s="19"/>
      <c r="K70" s="20"/>
    </row>
    <row r="71">
      <c r="A71" s="27"/>
      <c r="J71" s="19"/>
      <c r="K71" s="20"/>
    </row>
    <row r="72">
      <c r="A72" s="27"/>
      <c r="J72" s="19"/>
      <c r="K72" s="20"/>
    </row>
    <row r="73">
      <c r="A73" s="27"/>
      <c r="J73" s="19"/>
      <c r="K73" s="20"/>
    </row>
    <row r="74">
      <c r="A74" s="27"/>
      <c r="J74" s="19"/>
      <c r="K74" s="20"/>
    </row>
    <row r="75">
      <c r="A75" s="27"/>
      <c r="J75" s="19"/>
      <c r="K75" s="20"/>
    </row>
    <row r="76">
      <c r="A76" s="27"/>
      <c r="J76" s="19"/>
      <c r="K76" s="20"/>
    </row>
    <row r="77">
      <c r="A77" s="27"/>
      <c r="J77" s="19"/>
      <c r="K77" s="20"/>
    </row>
    <row r="78">
      <c r="A78" s="27"/>
      <c r="J78" s="19"/>
      <c r="K78" s="20"/>
    </row>
    <row r="79">
      <c r="A79" s="27"/>
      <c r="J79" s="19"/>
      <c r="K79" s="20"/>
    </row>
    <row r="80">
      <c r="A80" s="27"/>
      <c r="J80" s="19"/>
      <c r="K80" s="20"/>
    </row>
    <row r="81">
      <c r="A81" s="27"/>
      <c r="J81" s="19"/>
      <c r="K81" s="20"/>
    </row>
    <row r="82">
      <c r="A82" s="27"/>
      <c r="J82" s="19"/>
      <c r="K82" s="20"/>
    </row>
    <row r="83">
      <c r="A83" s="27"/>
      <c r="J83" s="19"/>
      <c r="K83" s="20"/>
    </row>
    <row r="84">
      <c r="A84" s="27"/>
      <c r="J84" s="19"/>
      <c r="K84" s="20"/>
    </row>
    <row r="85">
      <c r="A85" s="27"/>
      <c r="J85" s="19"/>
      <c r="K85" s="20"/>
    </row>
    <row r="86">
      <c r="A86" s="27"/>
      <c r="J86" s="19"/>
      <c r="K86" s="20"/>
    </row>
    <row r="87">
      <c r="A87" s="27"/>
      <c r="J87" s="19"/>
      <c r="K87" s="20"/>
    </row>
    <row r="88">
      <c r="A88" s="27"/>
      <c r="J88" s="19"/>
      <c r="K88" s="20"/>
    </row>
    <row r="89">
      <c r="A89" s="27"/>
      <c r="J89" s="19"/>
      <c r="K89" s="20"/>
    </row>
    <row r="90">
      <c r="A90" s="27"/>
      <c r="J90" s="19"/>
      <c r="K90" s="20"/>
    </row>
    <row r="91">
      <c r="A91" s="27"/>
      <c r="J91" s="19"/>
      <c r="K91" s="20"/>
    </row>
    <row r="92">
      <c r="A92" s="27"/>
      <c r="J92" s="19"/>
      <c r="K92" s="20"/>
    </row>
    <row r="93">
      <c r="A93" s="27"/>
      <c r="J93" s="19"/>
      <c r="K93" s="20"/>
    </row>
    <row r="94">
      <c r="A94" s="27"/>
      <c r="J94" s="19"/>
      <c r="K94" s="20"/>
    </row>
    <row r="95">
      <c r="A95" s="27"/>
      <c r="J95" s="19"/>
      <c r="K95" s="20"/>
    </row>
    <row r="96">
      <c r="A96" s="27"/>
      <c r="J96" s="19"/>
      <c r="K96" s="20"/>
    </row>
    <row r="97">
      <c r="A97" s="27"/>
      <c r="J97" s="19"/>
      <c r="K97" s="20"/>
    </row>
    <row r="98">
      <c r="A98" s="27"/>
      <c r="J98" s="19"/>
      <c r="K98" s="20"/>
    </row>
    <row r="99">
      <c r="A99" s="27"/>
      <c r="J99" s="19"/>
      <c r="K99" s="20"/>
    </row>
    <row r="100">
      <c r="A100" s="27"/>
      <c r="J100" s="19"/>
      <c r="K100" s="20"/>
    </row>
    <row r="101">
      <c r="A101" s="27"/>
      <c r="J101" s="19"/>
      <c r="K101" s="20"/>
    </row>
    <row r="102">
      <c r="A102" s="27"/>
      <c r="J102" s="19"/>
      <c r="K102" s="20"/>
    </row>
    <row r="103">
      <c r="A103" s="27"/>
      <c r="J103" s="19"/>
      <c r="K103" s="20"/>
    </row>
    <row r="104">
      <c r="A104" s="27"/>
      <c r="J104" s="19"/>
      <c r="K104" s="20"/>
    </row>
    <row r="105">
      <c r="A105" s="27"/>
      <c r="J105" s="19"/>
      <c r="K105" s="20"/>
    </row>
    <row r="106">
      <c r="A106" s="27"/>
      <c r="J106" s="19"/>
      <c r="K106" s="20"/>
    </row>
    <row r="107">
      <c r="A107" s="27"/>
      <c r="J107" s="19"/>
      <c r="K107" s="20"/>
    </row>
    <row r="108">
      <c r="A108" s="27"/>
      <c r="J108" s="19"/>
      <c r="K108" s="20"/>
    </row>
    <row r="109">
      <c r="A109" s="27"/>
      <c r="J109" s="19"/>
      <c r="K109" s="20"/>
    </row>
    <row r="110">
      <c r="A110" s="27"/>
      <c r="J110" s="19"/>
      <c r="K110" s="20"/>
    </row>
    <row r="111">
      <c r="A111" s="27"/>
      <c r="J111" s="19"/>
      <c r="K111" s="20"/>
    </row>
    <row r="112">
      <c r="A112" s="27"/>
      <c r="J112" s="19"/>
      <c r="K112" s="20"/>
    </row>
    <row r="113">
      <c r="A113" s="27"/>
      <c r="J113" s="19"/>
      <c r="K113" s="20"/>
    </row>
    <row r="114">
      <c r="A114" s="27"/>
      <c r="J114" s="19"/>
      <c r="K114" s="20"/>
    </row>
    <row r="115">
      <c r="A115" s="27"/>
      <c r="J115" s="19"/>
      <c r="K115" s="20"/>
    </row>
    <row r="116">
      <c r="A116" s="27"/>
      <c r="J116" s="19"/>
      <c r="K116" s="20"/>
    </row>
    <row r="117">
      <c r="A117" s="27"/>
      <c r="J117" s="19"/>
      <c r="K117" s="20"/>
    </row>
    <row r="118">
      <c r="A118" s="27"/>
      <c r="J118" s="19"/>
      <c r="K118" s="20"/>
    </row>
    <row r="119">
      <c r="A119" s="27"/>
      <c r="J119" s="19"/>
      <c r="K119" s="20"/>
    </row>
    <row r="120">
      <c r="A120" s="27"/>
      <c r="J120" s="19"/>
      <c r="K120" s="20"/>
    </row>
    <row r="121">
      <c r="A121" s="27"/>
      <c r="J121" s="19"/>
      <c r="K121" s="20"/>
    </row>
    <row r="122">
      <c r="A122" s="27"/>
      <c r="J122" s="19"/>
      <c r="K122" s="20"/>
    </row>
    <row r="123">
      <c r="A123" s="27"/>
      <c r="J123" s="19"/>
      <c r="K123" s="20"/>
    </row>
    <row r="124">
      <c r="A124" s="27"/>
      <c r="J124" s="19"/>
      <c r="K124" s="20"/>
    </row>
    <row r="125">
      <c r="A125" s="27"/>
      <c r="J125" s="19"/>
      <c r="K125" s="20"/>
    </row>
    <row r="126">
      <c r="A126" s="27"/>
      <c r="J126" s="19"/>
      <c r="K126" s="20"/>
    </row>
    <row r="127">
      <c r="A127" s="27"/>
      <c r="J127" s="19"/>
      <c r="K127" s="20"/>
    </row>
    <row r="128">
      <c r="A128" s="27"/>
      <c r="J128" s="19"/>
      <c r="K128" s="20"/>
    </row>
    <row r="129">
      <c r="A129" s="27"/>
      <c r="J129" s="19"/>
      <c r="K129" s="20"/>
    </row>
    <row r="130">
      <c r="A130" s="27"/>
      <c r="J130" s="19"/>
      <c r="K130" s="20"/>
    </row>
    <row r="131">
      <c r="A131" s="27"/>
      <c r="J131" s="19"/>
      <c r="K131" s="20"/>
    </row>
    <row r="132">
      <c r="A132" s="27"/>
      <c r="J132" s="19"/>
      <c r="K132" s="20"/>
    </row>
    <row r="133">
      <c r="A133" s="27"/>
      <c r="J133" s="19"/>
      <c r="K133" s="20"/>
    </row>
    <row r="134">
      <c r="A134" s="27"/>
      <c r="J134" s="19"/>
      <c r="K134" s="20"/>
    </row>
    <row r="135">
      <c r="A135" s="27"/>
      <c r="J135" s="19"/>
      <c r="K135" s="20"/>
    </row>
    <row r="136">
      <c r="A136" s="27"/>
      <c r="J136" s="19"/>
      <c r="K136" s="20"/>
    </row>
    <row r="137">
      <c r="A137" s="27"/>
      <c r="J137" s="19"/>
      <c r="K137" s="20"/>
    </row>
    <row r="138">
      <c r="A138" s="27"/>
      <c r="J138" s="19"/>
      <c r="K138" s="20"/>
    </row>
    <row r="139">
      <c r="A139" s="27"/>
      <c r="J139" s="19"/>
      <c r="K139" s="20"/>
    </row>
    <row r="140">
      <c r="A140" s="27"/>
      <c r="J140" s="19"/>
      <c r="K140" s="20"/>
    </row>
    <row r="141">
      <c r="A141" s="27"/>
      <c r="J141" s="19"/>
      <c r="K141" s="20"/>
    </row>
    <row r="142">
      <c r="A142" s="27"/>
      <c r="J142" s="19"/>
      <c r="K142" s="20"/>
    </row>
    <row r="143">
      <c r="A143" s="27"/>
      <c r="J143" s="19"/>
      <c r="K143" s="20"/>
    </row>
    <row r="144">
      <c r="A144" s="27"/>
      <c r="J144" s="19"/>
      <c r="K144" s="20"/>
    </row>
    <row r="145">
      <c r="A145" s="27"/>
      <c r="J145" s="19"/>
      <c r="K145" s="20"/>
    </row>
    <row r="146">
      <c r="A146" s="27"/>
      <c r="J146" s="19"/>
      <c r="K146" s="20"/>
    </row>
    <row r="147">
      <c r="A147" s="27"/>
      <c r="J147" s="19"/>
      <c r="K147" s="20"/>
    </row>
    <row r="148">
      <c r="A148" s="27"/>
      <c r="J148" s="19"/>
      <c r="K148" s="20"/>
    </row>
    <row r="149">
      <c r="A149" s="27"/>
      <c r="J149" s="19"/>
      <c r="K149" s="20"/>
    </row>
    <row r="150">
      <c r="A150" s="27"/>
      <c r="J150" s="19"/>
      <c r="K150" s="20"/>
    </row>
    <row r="151">
      <c r="A151" s="27"/>
      <c r="J151" s="19"/>
      <c r="K151" s="20"/>
    </row>
    <row r="152">
      <c r="A152" s="27"/>
      <c r="J152" s="19"/>
      <c r="K152" s="20"/>
    </row>
    <row r="153">
      <c r="A153" s="27"/>
      <c r="J153" s="19"/>
      <c r="K153" s="20"/>
    </row>
    <row r="154">
      <c r="A154" s="27"/>
      <c r="J154" s="19"/>
      <c r="K154" s="20"/>
    </row>
    <row r="155">
      <c r="A155" s="27"/>
      <c r="J155" s="19"/>
      <c r="K155" s="20"/>
    </row>
    <row r="156">
      <c r="A156" s="27"/>
      <c r="J156" s="19"/>
      <c r="K156" s="20"/>
    </row>
    <row r="157">
      <c r="A157" s="27"/>
      <c r="J157" s="19"/>
      <c r="K157" s="20"/>
    </row>
    <row r="158">
      <c r="A158" s="27"/>
      <c r="J158" s="19"/>
      <c r="K158" s="20"/>
    </row>
    <row r="159">
      <c r="A159" s="27"/>
      <c r="J159" s="19"/>
      <c r="K159" s="20"/>
    </row>
    <row r="160">
      <c r="A160" s="27"/>
      <c r="J160" s="19"/>
      <c r="K160" s="20"/>
    </row>
    <row r="161">
      <c r="A161" s="27"/>
      <c r="J161" s="19"/>
      <c r="K161" s="20"/>
    </row>
    <row r="162">
      <c r="A162" s="27"/>
      <c r="J162" s="19"/>
      <c r="K162" s="20"/>
    </row>
    <row r="163">
      <c r="A163" s="27"/>
      <c r="J163" s="19"/>
      <c r="K163" s="20"/>
    </row>
    <row r="164">
      <c r="A164" s="27"/>
      <c r="J164" s="19"/>
      <c r="K164" s="20"/>
    </row>
    <row r="165">
      <c r="A165" s="27"/>
      <c r="J165" s="19"/>
      <c r="K165" s="20"/>
    </row>
    <row r="166">
      <c r="A166" s="27"/>
      <c r="J166" s="19"/>
      <c r="K166" s="20"/>
    </row>
    <row r="167">
      <c r="A167" s="27"/>
      <c r="J167" s="19"/>
      <c r="K167" s="20"/>
    </row>
    <row r="168">
      <c r="A168" s="27"/>
      <c r="J168" s="19"/>
      <c r="K168" s="20"/>
    </row>
    <row r="169">
      <c r="A169" s="27"/>
      <c r="J169" s="19"/>
      <c r="K169" s="20"/>
    </row>
    <row r="170">
      <c r="A170" s="27"/>
      <c r="J170" s="19"/>
      <c r="K170" s="20"/>
    </row>
    <row r="171">
      <c r="A171" s="27"/>
      <c r="J171" s="19"/>
      <c r="K171" s="20"/>
    </row>
    <row r="172">
      <c r="A172" s="27"/>
      <c r="J172" s="19"/>
      <c r="K172" s="20"/>
    </row>
    <row r="173">
      <c r="A173" s="27"/>
      <c r="J173" s="19"/>
      <c r="K173" s="20"/>
    </row>
    <row r="174">
      <c r="A174" s="27"/>
      <c r="J174" s="19"/>
      <c r="K174" s="20"/>
    </row>
    <row r="175">
      <c r="A175" s="27"/>
      <c r="J175" s="19"/>
      <c r="K175" s="20"/>
    </row>
    <row r="176">
      <c r="A176" s="27"/>
      <c r="J176" s="19"/>
      <c r="K176" s="20"/>
    </row>
    <row r="177">
      <c r="A177" s="27"/>
      <c r="J177" s="19"/>
      <c r="K177" s="20"/>
    </row>
    <row r="178">
      <c r="A178" s="27"/>
      <c r="J178" s="19"/>
      <c r="K178" s="20"/>
    </row>
    <row r="179">
      <c r="A179" s="27"/>
      <c r="J179" s="19"/>
      <c r="K179" s="20"/>
    </row>
    <row r="180">
      <c r="A180" s="27"/>
      <c r="J180" s="19"/>
      <c r="K180" s="20"/>
    </row>
    <row r="181">
      <c r="A181" s="27"/>
      <c r="J181" s="19"/>
      <c r="K181" s="20"/>
    </row>
    <row r="182">
      <c r="A182" s="27"/>
      <c r="J182" s="19"/>
      <c r="K182" s="20"/>
    </row>
    <row r="183">
      <c r="A183" s="27"/>
      <c r="J183" s="19"/>
      <c r="K183" s="20"/>
    </row>
    <row r="184">
      <c r="A184" s="27"/>
      <c r="J184" s="19"/>
      <c r="K184" s="20"/>
    </row>
    <row r="185">
      <c r="A185" s="27"/>
      <c r="J185" s="19"/>
      <c r="K185" s="20"/>
    </row>
    <row r="186">
      <c r="A186" s="27"/>
      <c r="J186" s="19"/>
      <c r="K186" s="20"/>
    </row>
    <row r="187">
      <c r="A187" s="27"/>
      <c r="J187" s="19"/>
      <c r="K187" s="20"/>
    </row>
    <row r="188">
      <c r="A188" s="27"/>
      <c r="J188" s="19"/>
      <c r="K188" s="20"/>
    </row>
    <row r="189">
      <c r="A189" s="27"/>
      <c r="J189" s="19"/>
      <c r="K189" s="20"/>
    </row>
    <row r="190">
      <c r="A190" s="27"/>
      <c r="J190" s="19"/>
      <c r="K190" s="20"/>
    </row>
    <row r="191">
      <c r="A191" s="27"/>
      <c r="J191" s="19"/>
      <c r="K191" s="20"/>
    </row>
    <row r="192">
      <c r="A192" s="27"/>
      <c r="J192" s="19"/>
      <c r="K192" s="20"/>
    </row>
    <row r="193">
      <c r="A193" s="27"/>
      <c r="J193" s="19"/>
      <c r="K193" s="20"/>
    </row>
    <row r="194">
      <c r="A194" s="27"/>
      <c r="J194" s="19"/>
      <c r="K194" s="20"/>
    </row>
    <row r="195">
      <c r="A195" s="27"/>
      <c r="J195" s="19"/>
      <c r="K195" s="20"/>
    </row>
    <row r="196">
      <c r="A196" s="27"/>
      <c r="J196" s="19"/>
      <c r="K196" s="20"/>
    </row>
    <row r="197">
      <c r="A197" s="27"/>
      <c r="J197" s="19"/>
      <c r="K197" s="20"/>
    </row>
    <row r="198">
      <c r="A198" s="27"/>
      <c r="J198" s="19"/>
      <c r="K198" s="20"/>
    </row>
    <row r="199">
      <c r="A199" s="27"/>
      <c r="J199" s="19"/>
      <c r="K199" s="20"/>
    </row>
    <row r="200">
      <c r="A200" s="27"/>
      <c r="J200" s="19"/>
      <c r="K200" s="20"/>
    </row>
    <row r="201">
      <c r="A201" s="27"/>
      <c r="J201" s="19"/>
      <c r="K201" s="20"/>
    </row>
    <row r="202">
      <c r="A202" s="27"/>
      <c r="J202" s="19"/>
      <c r="K202" s="20"/>
    </row>
    <row r="203">
      <c r="A203" s="27"/>
      <c r="J203" s="19"/>
      <c r="K203" s="20"/>
    </row>
    <row r="204">
      <c r="A204" s="27"/>
      <c r="J204" s="19"/>
      <c r="K204" s="20"/>
    </row>
    <row r="205">
      <c r="A205" s="27"/>
      <c r="J205" s="19"/>
      <c r="K205" s="20"/>
    </row>
    <row r="206">
      <c r="A206" s="27"/>
      <c r="J206" s="19"/>
      <c r="K206" s="20"/>
    </row>
    <row r="207">
      <c r="A207" s="27"/>
      <c r="J207" s="19"/>
      <c r="K207" s="20"/>
    </row>
    <row r="208">
      <c r="A208" s="27"/>
      <c r="J208" s="19"/>
      <c r="K208" s="20"/>
    </row>
    <row r="209">
      <c r="A209" s="27"/>
      <c r="J209" s="19"/>
      <c r="K209" s="20"/>
    </row>
    <row r="210">
      <c r="A210" s="27"/>
      <c r="J210" s="19"/>
      <c r="K210" s="20"/>
    </row>
    <row r="211">
      <c r="A211" s="27"/>
      <c r="J211" s="19"/>
      <c r="K211" s="20"/>
    </row>
    <row r="212">
      <c r="A212" s="27"/>
      <c r="J212" s="19"/>
      <c r="K212" s="20"/>
    </row>
    <row r="213">
      <c r="A213" s="27"/>
      <c r="J213" s="19"/>
      <c r="K213" s="20"/>
    </row>
    <row r="214">
      <c r="A214" s="27"/>
      <c r="J214" s="19"/>
      <c r="K214" s="20"/>
    </row>
    <row r="215">
      <c r="A215" s="27"/>
      <c r="J215" s="19"/>
      <c r="K215" s="20"/>
    </row>
    <row r="216">
      <c r="A216" s="27"/>
      <c r="J216" s="19"/>
      <c r="K216" s="20"/>
    </row>
    <row r="217">
      <c r="A217" s="27"/>
      <c r="J217" s="19"/>
      <c r="K217" s="20"/>
    </row>
    <row r="218">
      <c r="A218" s="27"/>
      <c r="J218" s="19"/>
      <c r="K218" s="20"/>
    </row>
    <row r="219">
      <c r="A219" s="27"/>
      <c r="J219" s="19"/>
      <c r="K219" s="20"/>
    </row>
    <row r="220">
      <c r="A220" s="27"/>
      <c r="J220" s="19"/>
      <c r="K220" s="20"/>
    </row>
    <row r="221">
      <c r="A221" s="27"/>
      <c r="J221" s="19"/>
      <c r="K221" s="20"/>
    </row>
    <row r="222">
      <c r="A222" s="27"/>
      <c r="J222" s="19"/>
      <c r="K222" s="20"/>
    </row>
    <row r="223">
      <c r="A223" s="27"/>
      <c r="J223" s="19"/>
      <c r="K223" s="20"/>
    </row>
    <row r="224">
      <c r="A224" s="27"/>
      <c r="J224" s="19"/>
      <c r="K224" s="20"/>
    </row>
    <row r="225">
      <c r="A225" s="27"/>
      <c r="J225" s="19"/>
      <c r="K225" s="20"/>
    </row>
    <row r="226">
      <c r="A226" s="27"/>
      <c r="J226" s="19"/>
      <c r="K226" s="20"/>
    </row>
    <row r="227">
      <c r="A227" s="27"/>
      <c r="J227" s="19"/>
      <c r="K227" s="20"/>
    </row>
    <row r="228">
      <c r="A228" s="27"/>
      <c r="J228" s="19"/>
      <c r="K228" s="20"/>
    </row>
    <row r="229">
      <c r="A229" s="27"/>
      <c r="J229" s="19"/>
      <c r="K229" s="20"/>
    </row>
    <row r="230">
      <c r="A230" s="27"/>
      <c r="J230" s="19"/>
      <c r="K230" s="20"/>
    </row>
    <row r="231">
      <c r="A231" s="27"/>
      <c r="J231" s="19"/>
      <c r="K231" s="20"/>
    </row>
    <row r="232">
      <c r="A232" s="27"/>
      <c r="J232" s="19"/>
      <c r="K232" s="20"/>
    </row>
    <row r="233">
      <c r="A233" s="27"/>
      <c r="J233" s="19"/>
      <c r="K233" s="20"/>
    </row>
    <row r="234">
      <c r="A234" s="27"/>
      <c r="J234" s="19"/>
      <c r="K234" s="20"/>
    </row>
    <row r="235">
      <c r="A235" s="27"/>
      <c r="J235" s="19"/>
      <c r="K235" s="20"/>
    </row>
    <row r="236">
      <c r="A236" s="27"/>
      <c r="J236" s="19"/>
      <c r="K236" s="20"/>
    </row>
    <row r="237">
      <c r="A237" s="27"/>
      <c r="J237" s="19"/>
      <c r="K237" s="20"/>
    </row>
    <row r="238">
      <c r="A238" s="27"/>
      <c r="J238" s="19"/>
      <c r="K238" s="20"/>
    </row>
    <row r="239">
      <c r="A239" s="27"/>
      <c r="J239" s="19"/>
      <c r="K239" s="20"/>
    </row>
    <row r="240">
      <c r="A240" s="27"/>
      <c r="J240" s="19"/>
      <c r="K240" s="20"/>
    </row>
    <row r="241">
      <c r="A241" s="27"/>
      <c r="J241" s="19"/>
      <c r="K241" s="20"/>
    </row>
    <row r="242">
      <c r="A242" s="27"/>
      <c r="J242" s="19"/>
      <c r="K242" s="20"/>
    </row>
    <row r="243">
      <c r="A243" s="27"/>
      <c r="J243" s="19"/>
      <c r="K243" s="20"/>
    </row>
    <row r="244">
      <c r="A244" s="27"/>
      <c r="J244" s="19"/>
      <c r="K244" s="20"/>
    </row>
    <row r="245">
      <c r="A245" s="27"/>
      <c r="J245" s="19"/>
      <c r="K245" s="20"/>
    </row>
    <row r="246">
      <c r="A246" s="27"/>
      <c r="J246" s="19"/>
      <c r="K246" s="20"/>
    </row>
    <row r="247">
      <c r="A247" s="27"/>
      <c r="J247" s="19"/>
      <c r="K247" s="20"/>
    </row>
    <row r="248">
      <c r="A248" s="27"/>
      <c r="J248" s="19"/>
      <c r="K248" s="20"/>
    </row>
    <row r="249">
      <c r="A249" s="27"/>
      <c r="J249" s="19"/>
      <c r="K249" s="20"/>
    </row>
    <row r="250">
      <c r="A250" s="27"/>
      <c r="J250" s="19"/>
      <c r="K250" s="20"/>
    </row>
    <row r="251">
      <c r="A251" s="27"/>
      <c r="J251" s="19"/>
      <c r="K251" s="20"/>
    </row>
    <row r="252">
      <c r="A252" s="27"/>
      <c r="J252" s="19"/>
      <c r="K252" s="20"/>
    </row>
    <row r="253">
      <c r="A253" s="27"/>
      <c r="J253" s="19"/>
      <c r="K253" s="20"/>
    </row>
    <row r="254">
      <c r="A254" s="27"/>
      <c r="J254" s="19"/>
      <c r="K254" s="20"/>
    </row>
    <row r="255">
      <c r="A255" s="27"/>
      <c r="J255" s="19"/>
      <c r="K255" s="20"/>
    </row>
    <row r="256">
      <c r="A256" s="27"/>
      <c r="J256" s="19"/>
      <c r="K256" s="20"/>
    </row>
    <row r="257">
      <c r="A257" s="27"/>
      <c r="J257" s="19"/>
      <c r="K257" s="20"/>
    </row>
    <row r="258">
      <c r="A258" s="27"/>
      <c r="J258" s="19"/>
      <c r="K258" s="20"/>
    </row>
    <row r="259">
      <c r="A259" s="27"/>
      <c r="J259" s="19"/>
      <c r="K259" s="20"/>
    </row>
    <row r="260">
      <c r="A260" s="27"/>
      <c r="J260" s="19"/>
      <c r="K260" s="20"/>
    </row>
    <row r="261">
      <c r="A261" s="27"/>
      <c r="J261" s="19"/>
      <c r="K261" s="20"/>
    </row>
    <row r="262">
      <c r="A262" s="27"/>
      <c r="J262" s="19"/>
      <c r="K262" s="20"/>
    </row>
    <row r="263">
      <c r="A263" s="27"/>
      <c r="J263" s="19"/>
      <c r="K263" s="20"/>
    </row>
    <row r="264">
      <c r="A264" s="27"/>
      <c r="J264" s="19"/>
      <c r="K264" s="20"/>
    </row>
    <row r="265">
      <c r="A265" s="27"/>
      <c r="J265" s="19"/>
      <c r="K265" s="20"/>
    </row>
    <row r="266">
      <c r="A266" s="27"/>
      <c r="J266" s="19"/>
      <c r="K266" s="20"/>
    </row>
    <row r="267">
      <c r="A267" s="27"/>
      <c r="J267" s="19"/>
      <c r="K267" s="20"/>
    </row>
    <row r="268">
      <c r="A268" s="27"/>
      <c r="J268" s="19"/>
      <c r="K268" s="20"/>
    </row>
    <row r="269">
      <c r="A269" s="27"/>
      <c r="J269" s="19"/>
      <c r="K269" s="20"/>
    </row>
    <row r="270">
      <c r="A270" s="27"/>
      <c r="J270" s="19"/>
      <c r="K270" s="20"/>
    </row>
    <row r="271">
      <c r="A271" s="27"/>
      <c r="J271" s="19"/>
      <c r="K271" s="20"/>
    </row>
    <row r="272">
      <c r="A272" s="27"/>
      <c r="J272" s="19"/>
      <c r="K272" s="20"/>
    </row>
    <row r="273">
      <c r="A273" s="27"/>
      <c r="J273" s="19"/>
      <c r="K273" s="20"/>
    </row>
    <row r="274">
      <c r="A274" s="27"/>
      <c r="J274" s="19"/>
      <c r="K274" s="20"/>
    </row>
    <row r="275">
      <c r="A275" s="27"/>
      <c r="J275" s="19"/>
      <c r="K275" s="20"/>
    </row>
    <row r="276">
      <c r="A276" s="27"/>
      <c r="J276" s="19"/>
      <c r="K276" s="20"/>
    </row>
    <row r="277">
      <c r="A277" s="27"/>
      <c r="J277" s="19"/>
      <c r="K277" s="20"/>
    </row>
    <row r="278">
      <c r="A278" s="27"/>
      <c r="J278" s="19"/>
      <c r="K278" s="20"/>
    </row>
    <row r="279">
      <c r="A279" s="27"/>
      <c r="J279" s="19"/>
      <c r="K279" s="20"/>
    </row>
    <row r="280">
      <c r="A280" s="27"/>
      <c r="J280" s="19"/>
      <c r="K280" s="20"/>
    </row>
    <row r="281">
      <c r="A281" s="27"/>
      <c r="J281" s="19"/>
      <c r="K281" s="20"/>
    </row>
    <row r="282">
      <c r="A282" s="27"/>
      <c r="J282" s="19"/>
      <c r="K282" s="20"/>
    </row>
    <row r="283">
      <c r="A283" s="27"/>
      <c r="J283" s="19"/>
      <c r="K283" s="20"/>
    </row>
    <row r="284">
      <c r="A284" s="27"/>
      <c r="J284" s="19"/>
      <c r="K284" s="20"/>
    </row>
    <row r="285">
      <c r="A285" s="27"/>
      <c r="J285" s="19"/>
      <c r="K285" s="20"/>
    </row>
    <row r="286">
      <c r="A286" s="27"/>
      <c r="J286" s="19"/>
      <c r="K286" s="20"/>
    </row>
    <row r="287">
      <c r="A287" s="27"/>
      <c r="J287" s="19"/>
      <c r="K287" s="20"/>
    </row>
    <row r="288">
      <c r="A288" s="27"/>
      <c r="J288" s="19"/>
      <c r="K288" s="20"/>
    </row>
    <row r="289">
      <c r="A289" s="27"/>
      <c r="J289" s="19"/>
      <c r="K289" s="20"/>
    </row>
    <row r="290">
      <c r="A290" s="27"/>
      <c r="J290" s="19"/>
      <c r="K290" s="20"/>
    </row>
    <row r="291">
      <c r="A291" s="27"/>
      <c r="J291" s="19"/>
      <c r="K291" s="20"/>
    </row>
    <row r="292">
      <c r="A292" s="27"/>
      <c r="J292" s="19"/>
      <c r="K292" s="20"/>
    </row>
    <row r="293">
      <c r="A293" s="27"/>
      <c r="J293" s="19"/>
      <c r="K293" s="20"/>
    </row>
    <row r="294">
      <c r="A294" s="27"/>
      <c r="J294" s="19"/>
      <c r="K294" s="20"/>
    </row>
    <row r="295">
      <c r="A295" s="27"/>
      <c r="J295" s="19"/>
      <c r="K295" s="20"/>
    </row>
    <row r="296">
      <c r="A296" s="27"/>
      <c r="J296" s="19"/>
      <c r="K296" s="20"/>
    </row>
    <row r="297">
      <c r="A297" s="27"/>
      <c r="J297" s="19"/>
      <c r="K297" s="20"/>
    </row>
    <row r="298">
      <c r="A298" s="27"/>
      <c r="J298" s="19"/>
      <c r="K298" s="20"/>
    </row>
    <row r="299">
      <c r="A299" s="27"/>
      <c r="J299" s="19"/>
      <c r="K299" s="20"/>
    </row>
    <row r="300">
      <c r="A300" s="27"/>
      <c r="J300" s="19"/>
      <c r="K300" s="20"/>
    </row>
    <row r="301">
      <c r="A301" s="27"/>
      <c r="J301" s="19"/>
      <c r="K301" s="20"/>
    </row>
    <row r="302">
      <c r="A302" s="27"/>
      <c r="J302" s="19"/>
      <c r="K302" s="20"/>
    </row>
    <row r="303">
      <c r="A303" s="27"/>
      <c r="J303" s="19"/>
      <c r="K303" s="20"/>
    </row>
    <row r="304">
      <c r="A304" s="27"/>
      <c r="J304" s="19"/>
      <c r="K304" s="20"/>
    </row>
    <row r="305">
      <c r="A305" s="27"/>
      <c r="J305" s="19"/>
      <c r="K305" s="20"/>
    </row>
    <row r="306">
      <c r="A306" s="27"/>
      <c r="J306" s="19"/>
      <c r="K306" s="20"/>
    </row>
    <row r="307">
      <c r="A307" s="27"/>
      <c r="J307" s="19"/>
      <c r="K307" s="20"/>
    </row>
    <row r="308">
      <c r="A308" s="27"/>
      <c r="J308" s="19"/>
      <c r="K308" s="20"/>
    </row>
    <row r="309">
      <c r="A309" s="27"/>
      <c r="J309" s="19"/>
      <c r="K309" s="20"/>
    </row>
    <row r="310">
      <c r="A310" s="27"/>
      <c r="J310" s="19"/>
      <c r="K310" s="20"/>
    </row>
    <row r="311">
      <c r="A311" s="27"/>
      <c r="J311" s="19"/>
      <c r="K311" s="20"/>
    </row>
    <row r="312">
      <c r="A312" s="27"/>
      <c r="J312" s="19"/>
      <c r="K312" s="20"/>
    </row>
    <row r="313">
      <c r="A313" s="27"/>
      <c r="J313" s="19"/>
      <c r="K313" s="20"/>
    </row>
    <row r="314">
      <c r="A314" s="27"/>
      <c r="J314" s="19"/>
      <c r="K314" s="20"/>
    </row>
    <row r="315">
      <c r="A315" s="27"/>
      <c r="J315" s="19"/>
      <c r="K315" s="20"/>
    </row>
    <row r="316">
      <c r="A316" s="27"/>
      <c r="J316" s="19"/>
      <c r="K316" s="20"/>
    </row>
    <row r="317">
      <c r="A317" s="27"/>
      <c r="J317" s="19"/>
      <c r="K317" s="20"/>
    </row>
    <row r="318">
      <c r="A318" s="27"/>
      <c r="J318" s="19"/>
      <c r="K318" s="20"/>
    </row>
    <row r="319">
      <c r="A319" s="27"/>
      <c r="J319" s="19"/>
      <c r="K319" s="20"/>
    </row>
    <row r="320">
      <c r="A320" s="27"/>
      <c r="J320" s="19"/>
      <c r="K320" s="20"/>
    </row>
    <row r="321">
      <c r="A321" s="27"/>
      <c r="J321" s="19"/>
      <c r="K321" s="20"/>
    </row>
    <row r="322">
      <c r="A322" s="27"/>
      <c r="J322" s="19"/>
      <c r="K322" s="20"/>
    </row>
    <row r="323">
      <c r="A323" s="27"/>
      <c r="J323" s="19"/>
      <c r="K323" s="20"/>
    </row>
    <row r="324">
      <c r="A324" s="27"/>
      <c r="J324" s="19"/>
      <c r="K324" s="20"/>
    </row>
    <row r="325">
      <c r="A325" s="27"/>
      <c r="J325" s="19"/>
      <c r="K325" s="20"/>
    </row>
    <row r="326">
      <c r="A326" s="27"/>
      <c r="J326" s="19"/>
      <c r="K326" s="20"/>
    </row>
    <row r="327">
      <c r="A327" s="27"/>
      <c r="J327" s="19"/>
      <c r="K327" s="20"/>
    </row>
    <row r="328">
      <c r="A328" s="27"/>
      <c r="J328" s="19"/>
      <c r="K328" s="20"/>
    </row>
    <row r="329">
      <c r="A329" s="27"/>
      <c r="J329" s="19"/>
      <c r="K329" s="20"/>
    </row>
    <row r="330">
      <c r="A330" s="27"/>
      <c r="J330" s="19"/>
      <c r="K330" s="20"/>
    </row>
    <row r="331">
      <c r="A331" s="27"/>
      <c r="J331" s="19"/>
      <c r="K331" s="20"/>
    </row>
    <row r="332">
      <c r="A332" s="27"/>
      <c r="J332" s="19"/>
      <c r="K332" s="20"/>
    </row>
    <row r="333">
      <c r="A333" s="27"/>
      <c r="J333" s="19"/>
      <c r="K333" s="20"/>
    </row>
    <row r="334">
      <c r="A334" s="27"/>
      <c r="J334" s="19"/>
      <c r="K334" s="20"/>
    </row>
    <row r="335">
      <c r="A335" s="27"/>
      <c r="J335" s="19"/>
      <c r="K335" s="20"/>
    </row>
    <row r="336">
      <c r="A336" s="27"/>
      <c r="J336" s="19"/>
      <c r="K336" s="20"/>
    </row>
    <row r="337">
      <c r="A337" s="27"/>
      <c r="J337" s="19"/>
      <c r="K337" s="20"/>
    </row>
    <row r="338">
      <c r="A338" s="27"/>
      <c r="J338" s="19"/>
      <c r="K338" s="20"/>
    </row>
    <row r="339">
      <c r="A339" s="27"/>
      <c r="J339" s="19"/>
      <c r="K339" s="20"/>
    </row>
    <row r="340">
      <c r="A340" s="27"/>
      <c r="J340" s="19"/>
      <c r="K340" s="20"/>
    </row>
    <row r="341">
      <c r="A341" s="27"/>
      <c r="J341" s="19"/>
      <c r="K341" s="20"/>
    </row>
    <row r="342">
      <c r="A342" s="27"/>
      <c r="J342" s="19"/>
      <c r="K342" s="20"/>
    </row>
    <row r="343">
      <c r="A343" s="27"/>
      <c r="J343" s="19"/>
      <c r="K343" s="20"/>
    </row>
    <row r="344">
      <c r="A344" s="27"/>
      <c r="J344" s="19"/>
      <c r="K344" s="20"/>
    </row>
    <row r="345">
      <c r="A345" s="27"/>
      <c r="J345" s="19"/>
      <c r="K345" s="20"/>
    </row>
    <row r="346">
      <c r="A346" s="27"/>
      <c r="J346" s="19"/>
      <c r="K346" s="20"/>
    </row>
    <row r="347">
      <c r="A347" s="27"/>
      <c r="J347" s="19"/>
      <c r="K347" s="20"/>
    </row>
    <row r="348">
      <c r="A348" s="27"/>
      <c r="J348" s="19"/>
      <c r="K348" s="20"/>
    </row>
    <row r="349">
      <c r="A349" s="27"/>
      <c r="J349" s="19"/>
      <c r="K349" s="20"/>
    </row>
    <row r="350">
      <c r="A350" s="27"/>
      <c r="J350" s="19"/>
      <c r="K350" s="20"/>
    </row>
    <row r="351">
      <c r="A351" s="27"/>
      <c r="J351" s="19"/>
      <c r="K351" s="20"/>
    </row>
    <row r="352">
      <c r="A352" s="27"/>
      <c r="J352" s="19"/>
      <c r="K352" s="20"/>
    </row>
    <row r="353">
      <c r="A353" s="27"/>
      <c r="J353" s="19"/>
      <c r="K353" s="20"/>
    </row>
    <row r="354">
      <c r="A354" s="27"/>
      <c r="J354" s="19"/>
      <c r="K354" s="20"/>
    </row>
    <row r="355">
      <c r="A355" s="27"/>
      <c r="J355" s="19"/>
      <c r="K355" s="20"/>
    </row>
    <row r="356">
      <c r="A356" s="27"/>
      <c r="J356" s="19"/>
      <c r="K356" s="20"/>
    </row>
    <row r="357">
      <c r="A357" s="27"/>
      <c r="J357" s="19"/>
      <c r="K357" s="20"/>
    </row>
    <row r="358">
      <c r="A358" s="27"/>
      <c r="J358" s="19"/>
      <c r="K358" s="20"/>
    </row>
    <row r="359">
      <c r="A359" s="27"/>
      <c r="J359" s="19"/>
      <c r="K359" s="20"/>
    </row>
    <row r="360">
      <c r="A360" s="27"/>
      <c r="J360" s="19"/>
      <c r="K360" s="20"/>
    </row>
    <row r="361">
      <c r="A361" s="27"/>
      <c r="J361" s="19"/>
      <c r="K361" s="20"/>
    </row>
    <row r="362">
      <c r="A362" s="27"/>
      <c r="J362" s="19"/>
      <c r="K362" s="20"/>
    </row>
    <row r="363">
      <c r="A363" s="27"/>
      <c r="J363" s="19"/>
      <c r="K363" s="20"/>
    </row>
    <row r="364">
      <c r="A364" s="27"/>
      <c r="J364" s="19"/>
      <c r="K364" s="20"/>
    </row>
    <row r="365">
      <c r="A365" s="27"/>
      <c r="J365" s="19"/>
      <c r="K365" s="20"/>
    </row>
    <row r="366">
      <c r="A366" s="27"/>
      <c r="J366" s="19"/>
      <c r="K366" s="20"/>
    </row>
    <row r="367">
      <c r="A367" s="27"/>
      <c r="J367" s="19"/>
      <c r="K367" s="20"/>
    </row>
    <row r="368">
      <c r="A368" s="27"/>
      <c r="J368" s="19"/>
      <c r="K368" s="20"/>
    </row>
    <row r="369">
      <c r="A369" s="27"/>
      <c r="J369" s="19"/>
      <c r="K369" s="20"/>
    </row>
    <row r="370">
      <c r="A370" s="27"/>
      <c r="J370" s="19"/>
      <c r="K370" s="20"/>
    </row>
    <row r="371">
      <c r="A371" s="27"/>
      <c r="J371" s="19"/>
      <c r="K371" s="20"/>
    </row>
    <row r="372">
      <c r="A372" s="27"/>
      <c r="J372" s="19"/>
      <c r="K372" s="20"/>
    </row>
    <row r="373">
      <c r="A373" s="27"/>
      <c r="J373" s="19"/>
      <c r="K373" s="20"/>
    </row>
    <row r="374">
      <c r="A374" s="27"/>
      <c r="J374" s="19"/>
      <c r="K374" s="20"/>
    </row>
    <row r="375">
      <c r="A375" s="27"/>
      <c r="J375" s="19"/>
      <c r="K375" s="20"/>
    </row>
    <row r="376">
      <c r="A376" s="27"/>
      <c r="J376" s="19"/>
      <c r="K376" s="20"/>
    </row>
    <row r="377">
      <c r="A377" s="27"/>
      <c r="J377" s="19"/>
      <c r="K377" s="20"/>
    </row>
    <row r="378">
      <c r="A378" s="27"/>
      <c r="J378" s="19"/>
      <c r="K378" s="20"/>
    </row>
    <row r="379">
      <c r="A379" s="27"/>
      <c r="J379" s="19"/>
      <c r="K379" s="20"/>
    </row>
    <row r="380">
      <c r="A380" s="27"/>
      <c r="J380" s="19"/>
      <c r="K380" s="20"/>
    </row>
    <row r="381">
      <c r="A381" s="27"/>
      <c r="J381" s="19"/>
      <c r="K381" s="20"/>
    </row>
    <row r="382">
      <c r="A382" s="27"/>
      <c r="J382" s="19"/>
      <c r="K382" s="20"/>
    </row>
    <row r="383">
      <c r="A383" s="27"/>
      <c r="J383" s="19"/>
      <c r="K383" s="20"/>
    </row>
    <row r="384">
      <c r="A384" s="27"/>
      <c r="J384" s="19"/>
      <c r="K384" s="20"/>
    </row>
    <row r="385">
      <c r="A385" s="27"/>
      <c r="J385" s="19"/>
      <c r="K385" s="20"/>
    </row>
    <row r="386">
      <c r="A386" s="27"/>
      <c r="J386" s="19"/>
      <c r="K386" s="20"/>
    </row>
    <row r="387">
      <c r="A387" s="27"/>
      <c r="J387" s="19"/>
      <c r="K387" s="20"/>
    </row>
    <row r="388">
      <c r="A388" s="27"/>
      <c r="J388" s="19"/>
      <c r="K388" s="20"/>
    </row>
    <row r="389">
      <c r="A389" s="27"/>
      <c r="J389" s="19"/>
      <c r="K389" s="20"/>
    </row>
    <row r="390">
      <c r="A390" s="27"/>
      <c r="J390" s="19"/>
      <c r="K390" s="20"/>
    </row>
    <row r="391">
      <c r="A391" s="27"/>
      <c r="J391" s="19"/>
      <c r="K391" s="20"/>
    </row>
    <row r="392">
      <c r="A392" s="27"/>
      <c r="J392" s="19"/>
      <c r="K392" s="20"/>
    </row>
    <row r="393">
      <c r="A393" s="27"/>
      <c r="J393" s="19"/>
      <c r="K393" s="20"/>
    </row>
    <row r="394">
      <c r="A394" s="27"/>
      <c r="J394" s="19"/>
      <c r="K394" s="20"/>
    </row>
    <row r="395">
      <c r="A395" s="27"/>
      <c r="J395" s="19"/>
      <c r="K395" s="20"/>
    </row>
    <row r="396">
      <c r="A396" s="27"/>
      <c r="J396" s="19"/>
      <c r="K396" s="20"/>
    </row>
    <row r="397">
      <c r="A397" s="27"/>
      <c r="J397" s="19"/>
      <c r="K397" s="20"/>
    </row>
    <row r="398">
      <c r="A398" s="27"/>
      <c r="J398" s="19"/>
      <c r="K398" s="20"/>
    </row>
    <row r="399">
      <c r="A399" s="27"/>
      <c r="J399" s="19"/>
      <c r="K399" s="20"/>
    </row>
    <row r="400">
      <c r="A400" s="27"/>
      <c r="J400" s="19"/>
      <c r="K400" s="20"/>
    </row>
    <row r="401">
      <c r="A401" s="27"/>
      <c r="J401" s="19"/>
      <c r="K401" s="20"/>
    </row>
    <row r="402">
      <c r="A402" s="27"/>
      <c r="J402" s="19"/>
      <c r="K402" s="20"/>
    </row>
    <row r="403">
      <c r="A403" s="27"/>
      <c r="J403" s="19"/>
      <c r="K403" s="20"/>
    </row>
    <row r="404">
      <c r="A404" s="27"/>
      <c r="J404" s="19"/>
      <c r="K404" s="20"/>
    </row>
    <row r="405">
      <c r="A405" s="27"/>
      <c r="J405" s="19"/>
      <c r="K405" s="20"/>
    </row>
    <row r="406">
      <c r="A406" s="27"/>
      <c r="J406" s="19"/>
      <c r="K406" s="20"/>
    </row>
    <row r="407">
      <c r="A407" s="27"/>
      <c r="J407" s="19"/>
      <c r="K407" s="20"/>
    </row>
    <row r="408">
      <c r="A408" s="27"/>
      <c r="J408" s="19"/>
      <c r="K408" s="20"/>
    </row>
    <row r="409">
      <c r="A409" s="27"/>
      <c r="J409" s="19"/>
      <c r="K409" s="20"/>
    </row>
    <row r="410">
      <c r="A410" s="27"/>
      <c r="J410" s="19"/>
      <c r="K410" s="20"/>
    </row>
    <row r="411">
      <c r="A411" s="27"/>
      <c r="J411" s="19"/>
      <c r="K411" s="20"/>
    </row>
    <row r="412">
      <c r="A412" s="27"/>
      <c r="J412" s="19"/>
      <c r="K412" s="20"/>
    </row>
    <row r="413">
      <c r="A413" s="27"/>
      <c r="J413" s="19"/>
      <c r="K413" s="20"/>
    </row>
    <row r="414">
      <c r="A414" s="27"/>
      <c r="J414" s="19"/>
      <c r="K414" s="20"/>
    </row>
    <row r="415">
      <c r="A415" s="27"/>
      <c r="J415" s="19"/>
      <c r="K415" s="20"/>
    </row>
    <row r="416">
      <c r="A416" s="27"/>
      <c r="J416" s="19"/>
      <c r="K416" s="20"/>
    </row>
    <row r="417">
      <c r="A417" s="27"/>
      <c r="J417" s="19"/>
      <c r="K417" s="20"/>
    </row>
    <row r="418">
      <c r="A418" s="27"/>
      <c r="J418" s="19"/>
      <c r="K418" s="20"/>
    </row>
    <row r="419">
      <c r="A419" s="27"/>
      <c r="J419" s="19"/>
      <c r="K419" s="20"/>
    </row>
    <row r="420">
      <c r="A420" s="27"/>
      <c r="J420" s="19"/>
      <c r="K420" s="20"/>
    </row>
    <row r="421">
      <c r="A421" s="27"/>
      <c r="J421" s="19"/>
      <c r="K421" s="20"/>
    </row>
    <row r="422">
      <c r="A422" s="27"/>
      <c r="J422" s="19"/>
      <c r="K422" s="20"/>
    </row>
    <row r="423">
      <c r="A423" s="27"/>
      <c r="J423" s="19"/>
      <c r="K423" s="20"/>
    </row>
    <row r="424">
      <c r="A424" s="27"/>
      <c r="J424" s="19"/>
      <c r="K424" s="20"/>
    </row>
    <row r="425">
      <c r="A425" s="27"/>
      <c r="J425" s="19"/>
      <c r="K425" s="20"/>
    </row>
    <row r="426">
      <c r="A426" s="27"/>
      <c r="J426" s="19"/>
      <c r="K426" s="20"/>
    </row>
    <row r="427">
      <c r="A427" s="27"/>
      <c r="J427" s="19"/>
      <c r="K427" s="20"/>
    </row>
    <row r="428">
      <c r="A428" s="27"/>
      <c r="J428" s="19"/>
      <c r="K428" s="20"/>
    </row>
    <row r="429">
      <c r="A429" s="27"/>
      <c r="J429" s="19"/>
      <c r="K429" s="20"/>
    </row>
    <row r="430">
      <c r="A430" s="27"/>
      <c r="J430" s="19"/>
      <c r="K430" s="20"/>
    </row>
    <row r="431">
      <c r="A431" s="27"/>
      <c r="J431" s="19"/>
      <c r="K431" s="20"/>
    </row>
    <row r="432">
      <c r="A432" s="27"/>
      <c r="J432" s="19"/>
      <c r="K432" s="20"/>
    </row>
    <row r="433">
      <c r="A433" s="27"/>
      <c r="J433" s="19"/>
      <c r="K433" s="20"/>
    </row>
    <row r="434">
      <c r="A434" s="27"/>
      <c r="J434" s="19"/>
      <c r="K434" s="20"/>
    </row>
    <row r="435">
      <c r="A435" s="27"/>
      <c r="J435" s="19"/>
      <c r="K435" s="20"/>
    </row>
    <row r="436">
      <c r="A436" s="27"/>
      <c r="J436" s="19"/>
      <c r="K436" s="20"/>
    </row>
    <row r="437">
      <c r="A437" s="27"/>
      <c r="J437" s="19"/>
      <c r="K437" s="20"/>
    </row>
    <row r="438">
      <c r="A438" s="27"/>
      <c r="J438" s="19"/>
      <c r="K438" s="20"/>
    </row>
    <row r="439">
      <c r="A439" s="27"/>
      <c r="J439" s="19"/>
      <c r="K439" s="20"/>
    </row>
    <row r="440">
      <c r="A440" s="27"/>
      <c r="J440" s="19"/>
      <c r="K440" s="20"/>
    </row>
    <row r="441">
      <c r="A441" s="27"/>
      <c r="J441" s="19"/>
      <c r="K441" s="20"/>
    </row>
    <row r="442">
      <c r="A442" s="27"/>
      <c r="J442" s="19"/>
      <c r="K442" s="20"/>
    </row>
    <row r="443">
      <c r="A443" s="27"/>
      <c r="J443" s="19"/>
      <c r="K443" s="20"/>
    </row>
    <row r="444">
      <c r="A444" s="27"/>
      <c r="J444" s="19"/>
      <c r="K444" s="20"/>
    </row>
    <row r="445">
      <c r="A445" s="27"/>
      <c r="J445" s="19"/>
      <c r="K445" s="20"/>
    </row>
    <row r="446">
      <c r="A446" s="27"/>
      <c r="J446" s="19"/>
      <c r="K446" s="20"/>
    </row>
    <row r="447">
      <c r="A447" s="27"/>
      <c r="J447" s="19"/>
      <c r="K447" s="20"/>
    </row>
    <row r="448">
      <c r="A448" s="27"/>
      <c r="J448" s="19"/>
      <c r="K448" s="20"/>
    </row>
    <row r="449">
      <c r="A449" s="27"/>
      <c r="J449" s="19"/>
      <c r="K449" s="20"/>
    </row>
    <row r="450">
      <c r="A450" s="27"/>
      <c r="J450" s="19"/>
      <c r="K450" s="20"/>
    </row>
    <row r="451">
      <c r="A451" s="27"/>
      <c r="J451" s="19"/>
      <c r="K451" s="20"/>
    </row>
    <row r="452">
      <c r="A452" s="27"/>
      <c r="J452" s="19"/>
      <c r="K452" s="20"/>
    </row>
    <row r="453">
      <c r="A453" s="27"/>
      <c r="J453" s="19"/>
      <c r="K453" s="20"/>
    </row>
    <row r="454">
      <c r="A454" s="27"/>
      <c r="J454" s="19"/>
      <c r="K454" s="20"/>
    </row>
    <row r="455">
      <c r="A455" s="27"/>
      <c r="J455" s="19"/>
      <c r="K455" s="20"/>
    </row>
    <row r="456">
      <c r="A456" s="27"/>
      <c r="J456" s="19"/>
      <c r="K456" s="20"/>
    </row>
    <row r="457">
      <c r="A457" s="27"/>
      <c r="J457" s="19"/>
      <c r="K457" s="20"/>
    </row>
    <row r="458">
      <c r="A458" s="27"/>
      <c r="J458" s="19"/>
      <c r="K458" s="20"/>
    </row>
    <row r="459">
      <c r="A459" s="27"/>
      <c r="J459" s="19"/>
      <c r="K459" s="20"/>
    </row>
    <row r="460">
      <c r="A460" s="27"/>
      <c r="J460" s="19"/>
      <c r="K460" s="20"/>
    </row>
    <row r="461">
      <c r="A461" s="27"/>
      <c r="J461" s="19"/>
      <c r="K461" s="20"/>
    </row>
    <row r="462">
      <c r="A462" s="27"/>
      <c r="J462" s="19"/>
      <c r="K462" s="20"/>
    </row>
    <row r="463">
      <c r="A463" s="27"/>
      <c r="J463" s="19"/>
      <c r="K463" s="20"/>
    </row>
    <row r="464">
      <c r="A464" s="27"/>
      <c r="J464" s="19"/>
      <c r="K464" s="20"/>
    </row>
    <row r="465">
      <c r="A465" s="27"/>
      <c r="J465" s="19"/>
      <c r="K465" s="20"/>
    </row>
    <row r="466">
      <c r="A466" s="27"/>
      <c r="J466" s="19"/>
      <c r="K466" s="20"/>
    </row>
    <row r="467">
      <c r="A467" s="27"/>
      <c r="J467" s="19"/>
      <c r="K467" s="20"/>
    </row>
    <row r="468">
      <c r="A468" s="27"/>
      <c r="J468" s="19"/>
      <c r="K468" s="20"/>
    </row>
    <row r="469">
      <c r="A469" s="27"/>
      <c r="J469" s="19"/>
      <c r="K469" s="20"/>
    </row>
    <row r="470">
      <c r="A470" s="27"/>
      <c r="J470" s="19"/>
      <c r="K470" s="20"/>
    </row>
    <row r="471">
      <c r="A471" s="27"/>
      <c r="J471" s="19"/>
      <c r="K471" s="20"/>
    </row>
    <row r="472">
      <c r="A472" s="27"/>
      <c r="J472" s="19"/>
      <c r="K472" s="20"/>
    </row>
    <row r="473">
      <c r="A473" s="27"/>
      <c r="J473" s="19"/>
      <c r="K473" s="20"/>
    </row>
    <row r="474">
      <c r="A474" s="27"/>
      <c r="J474" s="19"/>
      <c r="K474" s="20"/>
    </row>
    <row r="475">
      <c r="A475" s="27"/>
      <c r="J475" s="19"/>
      <c r="K475" s="20"/>
    </row>
    <row r="476">
      <c r="A476" s="27"/>
      <c r="J476" s="19"/>
      <c r="K476" s="20"/>
    </row>
    <row r="477">
      <c r="A477" s="27"/>
      <c r="J477" s="19"/>
      <c r="K477" s="20"/>
    </row>
    <row r="478">
      <c r="A478" s="27"/>
      <c r="J478" s="19"/>
      <c r="K478" s="20"/>
    </row>
    <row r="479">
      <c r="A479" s="27"/>
      <c r="J479" s="19"/>
      <c r="K479" s="20"/>
    </row>
    <row r="480">
      <c r="A480" s="27"/>
      <c r="J480" s="19"/>
      <c r="K480" s="20"/>
    </row>
    <row r="481">
      <c r="A481" s="27"/>
      <c r="J481" s="19"/>
      <c r="K481" s="20"/>
    </row>
    <row r="482">
      <c r="A482" s="27"/>
      <c r="J482" s="19"/>
      <c r="K482" s="20"/>
    </row>
    <row r="483">
      <c r="A483" s="27"/>
      <c r="J483" s="19"/>
      <c r="K483" s="20"/>
    </row>
    <row r="484">
      <c r="A484" s="27"/>
      <c r="J484" s="19"/>
      <c r="K484" s="20"/>
    </row>
    <row r="485">
      <c r="A485" s="27"/>
      <c r="J485" s="19"/>
      <c r="K485" s="20"/>
    </row>
    <row r="486">
      <c r="A486" s="27"/>
      <c r="J486" s="19"/>
      <c r="K486" s="20"/>
    </row>
    <row r="487">
      <c r="A487" s="27"/>
      <c r="J487" s="19"/>
      <c r="K487" s="20"/>
    </row>
    <row r="488">
      <c r="A488" s="27"/>
      <c r="J488" s="19"/>
      <c r="K488" s="20"/>
    </row>
    <row r="489">
      <c r="A489" s="27"/>
      <c r="J489" s="19"/>
      <c r="K489" s="20"/>
    </row>
    <row r="490">
      <c r="A490" s="27"/>
      <c r="J490" s="19"/>
      <c r="K490" s="20"/>
    </row>
    <row r="491">
      <c r="A491" s="27"/>
      <c r="J491" s="19"/>
      <c r="K491" s="20"/>
    </row>
    <row r="492">
      <c r="A492" s="27"/>
      <c r="J492" s="19"/>
      <c r="K492" s="20"/>
    </row>
    <row r="493">
      <c r="A493" s="27"/>
      <c r="J493" s="19"/>
      <c r="K493" s="20"/>
    </row>
    <row r="494">
      <c r="A494" s="27"/>
      <c r="J494" s="19"/>
      <c r="K494" s="20"/>
    </row>
    <row r="495">
      <c r="A495" s="27"/>
      <c r="J495" s="19"/>
      <c r="K495" s="20"/>
    </row>
    <row r="496">
      <c r="A496" s="27"/>
      <c r="J496" s="19"/>
      <c r="K496" s="20"/>
    </row>
    <row r="497">
      <c r="A497" s="27"/>
      <c r="J497" s="19"/>
      <c r="K497" s="20"/>
    </row>
    <row r="498">
      <c r="A498" s="27"/>
      <c r="J498" s="19"/>
      <c r="K498" s="20"/>
    </row>
    <row r="499">
      <c r="A499" s="27"/>
      <c r="J499" s="19"/>
      <c r="K499" s="20"/>
    </row>
    <row r="500">
      <c r="A500" s="27"/>
      <c r="J500" s="19"/>
      <c r="K500" s="20"/>
    </row>
    <row r="501">
      <c r="A501" s="27"/>
      <c r="J501" s="19"/>
      <c r="K501" s="20"/>
    </row>
    <row r="502">
      <c r="A502" s="27"/>
      <c r="J502" s="19"/>
      <c r="K502" s="20"/>
    </row>
    <row r="503">
      <c r="A503" s="27"/>
      <c r="J503" s="19"/>
      <c r="K503" s="20"/>
    </row>
    <row r="504">
      <c r="A504" s="27"/>
      <c r="J504" s="19"/>
      <c r="K504" s="20"/>
    </row>
    <row r="505">
      <c r="A505" s="27"/>
      <c r="J505" s="19"/>
      <c r="K505" s="20"/>
    </row>
    <row r="506">
      <c r="A506" s="27"/>
      <c r="J506" s="19"/>
      <c r="K506" s="20"/>
    </row>
    <row r="507">
      <c r="A507" s="27"/>
      <c r="J507" s="19"/>
      <c r="K507" s="20"/>
    </row>
    <row r="508">
      <c r="A508" s="27"/>
      <c r="J508" s="19"/>
      <c r="K508" s="20"/>
    </row>
    <row r="509">
      <c r="A509" s="27"/>
      <c r="J509" s="19"/>
      <c r="K509" s="20"/>
    </row>
    <row r="510">
      <c r="A510" s="27"/>
      <c r="J510" s="19"/>
      <c r="K510" s="20"/>
    </row>
    <row r="511">
      <c r="A511" s="27"/>
      <c r="J511" s="19"/>
      <c r="K511" s="20"/>
    </row>
    <row r="512">
      <c r="A512" s="27"/>
      <c r="J512" s="19"/>
      <c r="K512" s="20"/>
    </row>
    <row r="513">
      <c r="A513" s="27"/>
      <c r="J513" s="19"/>
      <c r="K513" s="20"/>
    </row>
    <row r="514">
      <c r="A514" s="27"/>
      <c r="J514" s="19"/>
      <c r="K514" s="20"/>
    </row>
    <row r="515">
      <c r="A515" s="27"/>
      <c r="J515" s="19"/>
      <c r="K515" s="20"/>
    </row>
    <row r="516">
      <c r="A516" s="27"/>
      <c r="J516" s="19"/>
      <c r="K516" s="20"/>
    </row>
    <row r="517">
      <c r="A517" s="27"/>
      <c r="J517" s="19"/>
      <c r="K517" s="20"/>
    </row>
    <row r="518">
      <c r="A518" s="27"/>
      <c r="J518" s="19"/>
      <c r="K518" s="20"/>
    </row>
    <row r="519">
      <c r="A519" s="27"/>
      <c r="J519" s="19"/>
      <c r="K519" s="20"/>
    </row>
    <row r="520">
      <c r="A520" s="27"/>
      <c r="J520" s="19"/>
      <c r="K520" s="20"/>
    </row>
    <row r="521">
      <c r="A521" s="27"/>
      <c r="J521" s="19"/>
      <c r="K521" s="20"/>
    </row>
    <row r="522">
      <c r="A522" s="27"/>
      <c r="J522" s="19"/>
      <c r="K522" s="20"/>
    </row>
    <row r="523">
      <c r="A523" s="27"/>
      <c r="J523" s="19"/>
      <c r="K523" s="20"/>
    </row>
    <row r="524">
      <c r="A524" s="27"/>
      <c r="J524" s="19"/>
      <c r="K524" s="20"/>
    </row>
    <row r="525">
      <c r="A525" s="27"/>
      <c r="J525" s="19"/>
      <c r="K525" s="20"/>
    </row>
    <row r="526">
      <c r="A526" s="27"/>
      <c r="J526" s="19"/>
      <c r="K526" s="20"/>
    </row>
    <row r="527">
      <c r="A527" s="27"/>
      <c r="J527" s="19"/>
      <c r="K527" s="20"/>
    </row>
    <row r="528">
      <c r="A528" s="27"/>
      <c r="J528" s="19"/>
      <c r="K528" s="20"/>
    </row>
    <row r="529">
      <c r="A529" s="27"/>
      <c r="J529" s="19"/>
      <c r="K529" s="20"/>
    </row>
    <row r="530">
      <c r="A530" s="27"/>
      <c r="J530" s="19"/>
      <c r="K530" s="20"/>
    </row>
    <row r="531">
      <c r="A531" s="27"/>
      <c r="J531" s="19"/>
      <c r="K531" s="20"/>
    </row>
    <row r="532">
      <c r="A532" s="27"/>
      <c r="J532" s="19"/>
      <c r="K532" s="20"/>
    </row>
    <row r="533">
      <c r="A533" s="27"/>
      <c r="J533" s="19"/>
      <c r="K533" s="20"/>
    </row>
    <row r="534">
      <c r="A534" s="27"/>
      <c r="J534" s="19"/>
      <c r="K534" s="20"/>
    </row>
    <row r="535">
      <c r="A535" s="27"/>
      <c r="J535" s="19"/>
      <c r="K535" s="20"/>
    </row>
    <row r="536">
      <c r="A536" s="27"/>
      <c r="J536" s="19"/>
      <c r="K536" s="20"/>
    </row>
    <row r="537">
      <c r="A537" s="27"/>
      <c r="J537" s="19"/>
      <c r="K537" s="20"/>
    </row>
    <row r="538">
      <c r="A538" s="27"/>
      <c r="J538" s="19"/>
      <c r="K538" s="20"/>
    </row>
    <row r="539">
      <c r="A539" s="27"/>
      <c r="J539" s="19"/>
      <c r="K539" s="20"/>
    </row>
    <row r="540">
      <c r="A540" s="27"/>
      <c r="J540" s="19"/>
      <c r="K540" s="20"/>
    </row>
    <row r="541">
      <c r="A541" s="27"/>
      <c r="J541" s="19"/>
      <c r="K541" s="20"/>
    </row>
    <row r="542">
      <c r="A542" s="27"/>
      <c r="J542" s="19"/>
      <c r="K542" s="20"/>
    </row>
    <row r="543">
      <c r="A543" s="27"/>
      <c r="J543" s="19"/>
      <c r="K543" s="20"/>
    </row>
    <row r="544">
      <c r="A544" s="27"/>
      <c r="J544" s="19"/>
      <c r="K544" s="20"/>
    </row>
    <row r="545">
      <c r="A545" s="27"/>
      <c r="J545" s="19"/>
      <c r="K545" s="20"/>
    </row>
    <row r="546">
      <c r="A546" s="27"/>
      <c r="J546" s="19"/>
      <c r="K546" s="20"/>
    </row>
    <row r="547">
      <c r="A547" s="27"/>
      <c r="J547" s="19"/>
      <c r="K547" s="20"/>
    </row>
    <row r="548">
      <c r="A548" s="27"/>
      <c r="J548" s="19"/>
      <c r="K548" s="20"/>
    </row>
    <row r="549">
      <c r="A549" s="27"/>
      <c r="J549" s="19"/>
      <c r="K549" s="20"/>
    </row>
    <row r="550">
      <c r="A550" s="27"/>
      <c r="J550" s="19"/>
      <c r="K550" s="20"/>
    </row>
    <row r="551">
      <c r="A551" s="27"/>
      <c r="J551" s="19"/>
      <c r="K551" s="20"/>
    </row>
    <row r="552">
      <c r="A552" s="27"/>
      <c r="J552" s="19"/>
      <c r="K552" s="20"/>
    </row>
    <row r="553">
      <c r="A553" s="27"/>
      <c r="J553" s="19"/>
      <c r="K553" s="20"/>
    </row>
    <row r="554">
      <c r="A554" s="27"/>
      <c r="J554" s="19"/>
      <c r="K554" s="20"/>
    </row>
    <row r="555">
      <c r="A555" s="27"/>
      <c r="J555" s="19"/>
      <c r="K555" s="20"/>
    </row>
    <row r="556">
      <c r="A556" s="27"/>
      <c r="J556" s="19"/>
      <c r="K556" s="20"/>
    </row>
    <row r="557">
      <c r="A557" s="27"/>
      <c r="J557" s="19"/>
      <c r="K557" s="20"/>
    </row>
    <row r="558">
      <c r="A558" s="27"/>
      <c r="J558" s="19"/>
      <c r="K558" s="20"/>
    </row>
    <row r="559">
      <c r="A559" s="27"/>
      <c r="J559" s="19"/>
      <c r="K559" s="20"/>
    </row>
    <row r="560">
      <c r="A560" s="27"/>
      <c r="J560" s="19"/>
      <c r="K560" s="20"/>
    </row>
    <row r="561">
      <c r="A561" s="27"/>
      <c r="J561" s="19"/>
      <c r="K561" s="20"/>
    </row>
    <row r="562">
      <c r="A562" s="27"/>
      <c r="J562" s="19"/>
      <c r="K562" s="20"/>
    </row>
    <row r="563">
      <c r="A563" s="27"/>
      <c r="J563" s="19"/>
      <c r="K563" s="20"/>
    </row>
    <row r="564">
      <c r="A564" s="27"/>
      <c r="J564" s="19"/>
      <c r="K564" s="20"/>
    </row>
    <row r="565">
      <c r="A565" s="27"/>
      <c r="J565" s="19"/>
      <c r="K565" s="20"/>
    </row>
    <row r="566">
      <c r="A566" s="27"/>
      <c r="J566" s="19"/>
      <c r="K566" s="20"/>
    </row>
    <row r="567">
      <c r="A567" s="27"/>
      <c r="J567" s="19"/>
      <c r="K567" s="20"/>
    </row>
    <row r="568">
      <c r="A568" s="27"/>
      <c r="J568" s="19"/>
      <c r="K568" s="20"/>
    </row>
    <row r="569">
      <c r="A569" s="27"/>
      <c r="J569" s="19"/>
      <c r="K569" s="20"/>
    </row>
    <row r="570">
      <c r="A570" s="27"/>
      <c r="J570" s="19"/>
      <c r="K570" s="20"/>
    </row>
    <row r="571">
      <c r="A571" s="27"/>
      <c r="J571" s="19"/>
      <c r="K571" s="20"/>
    </row>
    <row r="572">
      <c r="A572" s="27"/>
      <c r="J572" s="19"/>
      <c r="K572" s="20"/>
    </row>
    <row r="573">
      <c r="A573" s="27"/>
      <c r="J573" s="19"/>
      <c r="K573" s="20"/>
    </row>
    <row r="574">
      <c r="A574" s="27"/>
      <c r="J574" s="19"/>
      <c r="K574" s="20"/>
    </row>
    <row r="575">
      <c r="A575" s="27"/>
      <c r="J575" s="19"/>
      <c r="K575" s="20"/>
    </row>
    <row r="576">
      <c r="A576" s="27"/>
      <c r="J576" s="19"/>
      <c r="K576" s="20"/>
    </row>
    <row r="577">
      <c r="A577" s="27"/>
      <c r="J577" s="19"/>
      <c r="K577" s="20"/>
    </row>
    <row r="578">
      <c r="A578" s="27"/>
      <c r="J578" s="19"/>
      <c r="K578" s="20"/>
    </row>
    <row r="579">
      <c r="A579" s="27"/>
      <c r="J579" s="19"/>
      <c r="K579" s="20"/>
    </row>
    <row r="580">
      <c r="A580" s="27"/>
      <c r="J580" s="19"/>
      <c r="K580" s="20"/>
    </row>
    <row r="581">
      <c r="A581" s="27"/>
      <c r="J581" s="19"/>
      <c r="K581" s="20"/>
    </row>
    <row r="582">
      <c r="A582" s="27"/>
      <c r="J582" s="19"/>
      <c r="K582" s="20"/>
    </row>
    <row r="583">
      <c r="A583" s="27"/>
      <c r="J583" s="19"/>
      <c r="K583" s="20"/>
    </row>
    <row r="584">
      <c r="A584" s="27"/>
      <c r="J584" s="19"/>
      <c r="K584" s="20"/>
    </row>
    <row r="585">
      <c r="A585" s="27"/>
      <c r="J585" s="19"/>
      <c r="K585" s="20"/>
    </row>
    <row r="586">
      <c r="A586" s="27"/>
      <c r="J586" s="19"/>
      <c r="K586" s="20"/>
    </row>
    <row r="587">
      <c r="A587" s="27"/>
      <c r="J587" s="19"/>
      <c r="K587" s="20"/>
    </row>
    <row r="588">
      <c r="A588" s="27"/>
      <c r="J588" s="19"/>
      <c r="K588" s="20"/>
    </row>
    <row r="589">
      <c r="A589" s="27"/>
      <c r="J589" s="19"/>
      <c r="K589" s="20"/>
    </row>
    <row r="590">
      <c r="A590" s="27"/>
      <c r="J590" s="19"/>
      <c r="K590" s="20"/>
    </row>
    <row r="591">
      <c r="A591" s="27"/>
      <c r="J591" s="19"/>
      <c r="K591" s="20"/>
    </row>
    <row r="592">
      <c r="A592" s="27"/>
      <c r="J592" s="19"/>
      <c r="K592" s="20"/>
    </row>
    <row r="593">
      <c r="A593" s="27"/>
      <c r="J593" s="19"/>
      <c r="K593" s="20"/>
    </row>
    <row r="594">
      <c r="A594" s="27"/>
      <c r="J594" s="19"/>
      <c r="K594" s="20"/>
    </row>
    <row r="595">
      <c r="A595" s="27"/>
      <c r="J595" s="19"/>
      <c r="K595" s="20"/>
    </row>
    <row r="596">
      <c r="A596" s="27"/>
      <c r="J596" s="19"/>
      <c r="K596" s="20"/>
    </row>
    <row r="597">
      <c r="A597" s="27"/>
      <c r="J597" s="19"/>
      <c r="K597" s="20"/>
    </row>
    <row r="598">
      <c r="A598" s="27"/>
      <c r="J598" s="19"/>
      <c r="K598" s="20"/>
    </row>
    <row r="599">
      <c r="A599" s="27"/>
      <c r="J599" s="19"/>
      <c r="K599" s="20"/>
    </row>
    <row r="600">
      <c r="A600" s="27"/>
      <c r="J600" s="19"/>
      <c r="K600" s="20"/>
    </row>
    <row r="601">
      <c r="A601" s="27"/>
      <c r="J601" s="19"/>
      <c r="K601" s="20"/>
    </row>
    <row r="602">
      <c r="A602" s="27"/>
      <c r="J602" s="19"/>
      <c r="K602" s="20"/>
    </row>
    <row r="603">
      <c r="A603" s="27"/>
      <c r="J603" s="19"/>
      <c r="K603" s="20"/>
    </row>
    <row r="604">
      <c r="A604" s="27"/>
      <c r="J604" s="19"/>
      <c r="K604" s="20"/>
    </row>
    <row r="605">
      <c r="A605" s="27"/>
      <c r="J605" s="19"/>
      <c r="K605" s="20"/>
    </row>
    <row r="606">
      <c r="A606" s="27"/>
      <c r="J606" s="19"/>
      <c r="K606" s="20"/>
    </row>
    <row r="607">
      <c r="A607" s="27"/>
      <c r="J607" s="19"/>
      <c r="K607" s="20"/>
    </row>
    <row r="608">
      <c r="A608" s="27"/>
      <c r="J608" s="19"/>
      <c r="K608" s="20"/>
    </row>
    <row r="609">
      <c r="A609" s="27"/>
      <c r="J609" s="19"/>
      <c r="K609" s="20"/>
    </row>
    <row r="610">
      <c r="A610" s="27"/>
      <c r="J610" s="19"/>
      <c r="K610" s="20"/>
    </row>
    <row r="611">
      <c r="A611" s="27"/>
      <c r="J611" s="19"/>
      <c r="K611" s="20"/>
    </row>
    <row r="612">
      <c r="A612" s="27"/>
      <c r="J612" s="19"/>
      <c r="K612" s="20"/>
    </row>
    <row r="613">
      <c r="A613" s="27"/>
      <c r="J613" s="19"/>
      <c r="K613" s="20"/>
    </row>
    <row r="614">
      <c r="A614" s="27"/>
      <c r="J614" s="19"/>
      <c r="K614" s="20"/>
    </row>
    <row r="615">
      <c r="A615" s="27"/>
      <c r="J615" s="19"/>
      <c r="K615" s="20"/>
    </row>
    <row r="616">
      <c r="A616" s="27"/>
      <c r="J616" s="19"/>
      <c r="K616" s="20"/>
    </row>
    <row r="617">
      <c r="A617" s="27"/>
      <c r="J617" s="19"/>
      <c r="K617" s="20"/>
    </row>
    <row r="618">
      <c r="A618" s="27"/>
      <c r="J618" s="19"/>
      <c r="K618" s="20"/>
    </row>
    <row r="619">
      <c r="A619" s="27"/>
      <c r="J619" s="19"/>
      <c r="K619" s="20"/>
    </row>
    <row r="620">
      <c r="A620" s="27"/>
      <c r="J620" s="19"/>
      <c r="K620" s="20"/>
    </row>
    <row r="621">
      <c r="A621" s="27"/>
      <c r="J621" s="19"/>
      <c r="K621" s="20"/>
    </row>
    <row r="622">
      <c r="A622" s="27"/>
      <c r="J622" s="19"/>
      <c r="K622" s="20"/>
    </row>
    <row r="623">
      <c r="A623" s="27"/>
      <c r="J623" s="19"/>
      <c r="K623" s="20"/>
    </row>
    <row r="624">
      <c r="A624" s="27"/>
      <c r="J624" s="19"/>
      <c r="K624" s="20"/>
    </row>
    <row r="625">
      <c r="A625" s="27"/>
      <c r="J625" s="19"/>
      <c r="K625" s="20"/>
    </row>
    <row r="626">
      <c r="A626" s="27"/>
      <c r="J626" s="19"/>
      <c r="K626" s="20"/>
    </row>
    <row r="627">
      <c r="A627" s="27"/>
      <c r="J627" s="19"/>
      <c r="K627" s="20"/>
    </row>
    <row r="628">
      <c r="A628" s="27"/>
      <c r="J628" s="19"/>
      <c r="K628" s="20"/>
    </row>
    <row r="629">
      <c r="A629" s="27"/>
      <c r="J629" s="19"/>
      <c r="K629" s="20"/>
    </row>
    <row r="630">
      <c r="A630" s="27"/>
      <c r="J630" s="19"/>
      <c r="K630" s="20"/>
    </row>
    <row r="631">
      <c r="A631" s="27"/>
      <c r="J631" s="19"/>
      <c r="K631" s="20"/>
    </row>
    <row r="632">
      <c r="A632" s="27"/>
      <c r="J632" s="19"/>
      <c r="K632" s="20"/>
    </row>
    <row r="633">
      <c r="A633" s="27"/>
      <c r="J633" s="19"/>
      <c r="K633" s="20"/>
    </row>
    <row r="634">
      <c r="A634" s="27"/>
      <c r="J634" s="19"/>
      <c r="K634" s="20"/>
    </row>
    <row r="635">
      <c r="A635" s="27"/>
      <c r="J635" s="19"/>
      <c r="K635" s="20"/>
    </row>
    <row r="636">
      <c r="A636" s="27"/>
      <c r="J636" s="19"/>
      <c r="K636" s="20"/>
    </row>
    <row r="637">
      <c r="A637" s="27"/>
      <c r="J637" s="19"/>
      <c r="K637" s="20"/>
    </row>
    <row r="638">
      <c r="A638" s="27"/>
      <c r="J638" s="19"/>
      <c r="K638" s="20"/>
    </row>
    <row r="639">
      <c r="A639" s="27"/>
      <c r="J639" s="19"/>
      <c r="K639" s="20"/>
    </row>
    <row r="640">
      <c r="A640" s="27"/>
      <c r="J640" s="19"/>
      <c r="K640" s="20"/>
    </row>
    <row r="641">
      <c r="A641" s="27"/>
      <c r="J641" s="19"/>
      <c r="K641" s="20"/>
    </row>
    <row r="642">
      <c r="A642" s="27"/>
      <c r="J642" s="19"/>
      <c r="K642" s="20"/>
    </row>
    <row r="643">
      <c r="A643" s="27"/>
      <c r="J643" s="19"/>
      <c r="K643" s="20"/>
    </row>
    <row r="644">
      <c r="A644" s="27"/>
      <c r="J644" s="19"/>
      <c r="K644" s="20"/>
    </row>
    <row r="645">
      <c r="A645" s="27"/>
      <c r="J645" s="19"/>
      <c r="K645" s="20"/>
    </row>
    <row r="646">
      <c r="A646" s="27"/>
      <c r="J646" s="19"/>
      <c r="K646" s="20"/>
    </row>
    <row r="647">
      <c r="A647" s="27"/>
      <c r="J647" s="19"/>
      <c r="K647" s="20"/>
    </row>
    <row r="648">
      <c r="A648" s="27"/>
      <c r="J648" s="19"/>
      <c r="K648" s="20"/>
    </row>
    <row r="649">
      <c r="A649" s="27"/>
      <c r="J649" s="19"/>
      <c r="K649" s="20"/>
    </row>
    <row r="650">
      <c r="A650" s="27"/>
      <c r="J650" s="19"/>
      <c r="K650" s="20"/>
    </row>
    <row r="651">
      <c r="A651" s="27"/>
      <c r="J651" s="19"/>
      <c r="K651" s="20"/>
    </row>
    <row r="652">
      <c r="A652" s="27"/>
      <c r="J652" s="19"/>
      <c r="K652" s="20"/>
    </row>
    <row r="653">
      <c r="A653" s="27"/>
      <c r="J653" s="19"/>
      <c r="K653" s="20"/>
    </row>
    <row r="654">
      <c r="A654" s="27"/>
      <c r="J654" s="19"/>
      <c r="K654" s="20"/>
    </row>
    <row r="655">
      <c r="A655" s="27"/>
      <c r="J655" s="19"/>
      <c r="K655" s="20"/>
    </row>
    <row r="656">
      <c r="A656" s="27"/>
      <c r="J656" s="19"/>
      <c r="K656" s="20"/>
    </row>
    <row r="657">
      <c r="A657" s="27"/>
      <c r="J657" s="19"/>
      <c r="K657" s="20"/>
    </row>
    <row r="658">
      <c r="A658" s="27"/>
      <c r="J658" s="19"/>
      <c r="K658" s="20"/>
    </row>
    <row r="659">
      <c r="A659" s="27"/>
      <c r="J659" s="19"/>
      <c r="K659" s="20"/>
    </row>
    <row r="660">
      <c r="A660" s="27"/>
      <c r="J660" s="19"/>
      <c r="K660" s="20"/>
    </row>
    <row r="661">
      <c r="A661" s="27"/>
      <c r="J661" s="19"/>
      <c r="K661" s="20"/>
    </row>
    <row r="662">
      <c r="A662" s="27"/>
      <c r="J662" s="19"/>
      <c r="K662" s="20"/>
    </row>
    <row r="663">
      <c r="A663" s="27"/>
      <c r="J663" s="19"/>
      <c r="K663" s="20"/>
    </row>
    <row r="664">
      <c r="A664" s="27"/>
      <c r="J664" s="19"/>
      <c r="K664" s="20"/>
    </row>
    <row r="665">
      <c r="A665" s="27"/>
      <c r="J665" s="19"/>
      <c r="K665" s="20"/>
    </row>
    <row r="666">
      <c r="A666" s="27"/>
      <c r="J666" s="19"/>
      <c r="K666" s="20"/>
    </row>
    <row r="667">
      <c r="A667" s="27"/>
      <c r="J667" s="19"/>
      <c r="K667" s="20"/>
    </row>
    <row r="668">
      <c r="A668" s="27"/>
      <c r="J668" s="19"/>
      <c r="K668" s="20"/>
    </row>
    <row r="669">
      <c r="A669" s="27"/>
      <c r="J669" s="19"/>
      <c r="K669" s="20"/>
    </row>
    <row r="670">
      <c r="A670" s="27"/>
      <c r="J670" s="19"/>
      <c r="K670" s="20"/>
    </row>
    <row r="671">
      <c r="A671" s="27"/>
      <c r="J671" s="19"/>
      <c r="K671" s="20"/>
    </row>
    <row r="672">
      <c r="A672" s="27"/>
      <c r="J672" s="19"/>
      <c r="K672" s="20"/>
    </row>
    <row r="673">
      <c r="A673" s="27"/>
      <c r="J673" s="19"/>
      <c r="K673" s="20"/>
    </row>
    <row r="674">
      <c r="A674" s="27"/>
      <c r="J674" s="19"/>
      <c r="K674" s="20"/>
    </row>
    <row r="675">
      <c r="A675" s="27"/>
      <c r="J675" s="19"/>
      <c r="K675" s="20"/>
    </row>
    <row r="676">
      <c r="A676" s="27"/>
      <c r="J676" s="19"/>
      <c r="K676" s="20"/>
    </row>
    <row r="677">
      <c r="A677" s="27"/>
      <c r="J677" s="19"/>
      <c r="K677" s="20"/>
    </row>
    <row r="678">
      <c r="A678" s="27"/>
      <c r="J678" s="19"/>
      <c r="K678" s="20"/>
    </row>
    <row r="679">
      <c r="A679" s="27"/>
      <c r="J679" s="19"/>
      <c r="K679" s="20"/>
    </row>
    <row r="680">
      <c r="A680" s="27"/>
      <c r="J680" s="19"/>
      <c r="K680" s="20"/>
    </row>
    <row r="681">
      <c r="A681" s="27"/>
      <c r="J681" s="19"/>
      <c r="K681" s="20"/>
    </row>
    <row r="682">
      <c r="A682" s="27"/>
      <c r="J682" s="19"/>
      <c r="K682" s="20"/>
    </row>
    <row r="683">
      <c r="A683" s="27"/>
      <c r="J683" s="19"/>
      <c r="K683" s="20"/>
    </row>
    <row r="684">
      <c r="A684" s="27"/>
      <c r="J684" s="19"/>
      <c r="K684" s="20"/>
    </row>
    <row r="685">
      <c r="A685" s="27"/>
      <c r="J685" s="19"/>
      <c r="K685" s="20"/>
    </row>
    <row r="686">
      <c r="A686" s="27"/>
      <c r="J686" s="19"/>
      <c r="K686" s="20"/>
    </row>
    <row r="687">
      <c r="A687" s="27"/>
      <c r="J687" s="19"/>
      <c r="K687" s="20"/>
    </row>
    <row r="688">
      <c r="A688" s="27"/>
      <c r="J688" s="19"/>
      <c r="K688" s="20"/>
    </row>
    <row r="689">
      <c r="A689" s="27"/>
      <c r="J689" s="19"/>
      <c r="K689" s="20"/>
    </row>
    <row r="690">
      <c r="A690" s="27"/>
      <c r="J690" s="19"/>
      <c r="K690" s="20"/>
    </row>
    <row r="691">
      <c r="A691" s="27"/>
      <c r="J691" s="19"/>
      <c r="K691" s="20"/>
    </row>
    <row r="692">
      <c r="A692" s="27"/>
      <c r="J692" s="19"/>
      <c r="K692" s="20"/>
    </row>
    <row r="693">
      <c r="A693" s="27"/>
      <c r="J693" s="19"/>
      <c r="K693" s="20"/>
    </row>
    <row r="694">
      <c r="A694" s="27"/>
      <c r="J694" s="19"/>
      <c r="K694" s="20"/>
    </row>
    <row r="695">
      <c r="A695" s="27"/>
      <c r="J695" s="19"/>
      <c r="K695" s="20"/>
    </row>
    <row r="696">
      <c r="A696" s="27"/>
      <c r="J696" s="19"/>
      <c r="K696" s="20"/>
    </row>
    <row r="697">
      <c r="A697" s="27"/>
      <c r="J697" s="19"/>
      <c r="K697" s="20"/>
    </row>
    <row r="698">
      <c r="A698" s="27"/>
      <c r="J698" s="19"/>
      <c r="K698" s="20"/>
    </row>
    <row r="699">
      <c r="A699" s="27"/>
      <c r="J699" s="19"/>
      <c r="K699" s="20"/>
    </row>
    <row r="700">
      <c r="A700" s="27"/>
      <c r="J700" s="19"/>
      <c r="K700" s="20"/>
    </row>
    <row r="701">
      <c r="A701" s="27"/>
      <c r="J701" s="19"/>
      <c r="K701" s="20"/>
    </row>
    <row r="702">
      <c r="A702" s="27"/>
      <c r="J702" s="19"/>
      <c r="K702" s="20"/>
    </row>
    <row r="703">
      <c r="A703" s="27"/>
      <c r="J703" s="19"/>
      <c r="K703" s="20"/>
    </row>
    <row r="704">
      <c r="A704" s="27"/>
      <c r="J704" s="19"/>
      <c r="K704" s="20"/>
    </row>
    <row r="705">
      <c r="A705" s="27"/>
      <c r="J705" s="19"/>
      <c r="K705" s="20"/>
    </row>
    <row r="706">
      <c r="A706" s="27"/>
      <c r="J706" s="19"/>
      <c r="K706" s="20"/>
    </row>
    <row r="707">
      <c r="A707" s="27"/>
      <c r="J707" s="19"/>
      <c r="K707" s="20"/>
    </row>
    <row r="708">
      <c r="A708" s="27"/>
      <c r="J708" s="19"/>
      <c r="K708" s="20"/>
    </row>
    <row r="709">
      <c r="A709" s="27"/>
      <c r="J709" s="19"/>
      <c r="K709" s="20"/>
    </row>
    <row r="710">
      <c r="A710" s="27"/>
      <c r="J710" s="19"/>
      <c r="K710" s="20"/>
    </row>
    <row r="711">
      <c r="A711" s="27"/>
      <c r="J711" s="19"/>
      <c r="K711" s="20"/>
    </row>
    <row r="712">
      <c r="A712" s="27"/>
      <c r="J712" s="19"/>
      <c r="K712" s="20"/>
    </row>
    <row r="713">
      <c r="A713" s="27"/>
      <c r="J713" s="19"/>
      <c r="K713" s="20"/>
    </row>
    <row r="714">
      <c r="A714" s="27"/>
      <c r="J714" s="19"/>
      <c r="K714" s="20"/>
    </row>
    <row r="715">
      <c r="A715" s="27"/>
      <c r="J715" s="19"/>
      <c r="K715" s="20"/>
    </row>
    <row r="716">
      <c r="A716" s="27"/>
      <c r="J716" s="19"/>
      <c r="K716" s="20"/>
    </row>
    <row r="717">
      <c r="A717" s="27"/>
      <c r="J717" s="19"/>
      <c r="K717" s="20"/>
    </row>
    <row r="718">
      <c r="A718" s="27"/>
      <c r="J718" s="19"/>
      <c r="K718" s="20"/>
    </row>
    <row r="719">
      <c r="A719" s="27"/>
      <c r="J719" s="19"/>
      <c r="K719" s="20"/>
    </row>
    <row r="720">
      <c r="A720" s="27"/>
      <c r="J720" s="19"/>
      <c r="K720" s="20"/>
    </row>
    <row r="721">
      <c r="A721" s="27"/>
      <c r="J721" s="19"/>
      <c r="K721" s="20"/>
    </row>
    <row r="722">
      <c r="A722" s="27"/>
      <c r="J722" s="19"/>
      <c r="K722" s="20"/>
    </row>
    <row r="723">
      <c r="A723" s="27"/>
      <c r="J723" s="19"/>
      <c r="K723" s="20"/>
    </row>
    <row r="724">
      <c r="A724" s="27"/>
      <c r="J724" s="19"/>
      <c r="K724" s="20"/>
    </row>
    <row r="725">
      <c r="A725" s="27"/>
      <c r="J725" s="19"/>
      <c r="K725" s="20"/>
    </row>
    <row r="726">
      <c r="A726" s="27"/>
      <c r="J726" s="19"/>
      <c r="K726" s="20"/>
    </row>
    <row r="727">
      <c r="A727" s="27"/>
      <c r="J727" s="19"/>
      <c r="K727" s="20"/>
    </row>
    <row r="728">
      <c r="A728" s="27"/>
      <c r="J728" s="19"/>
      <c r="K728" s="20"/>
    </row>
    <row r="729">
      <c r="A729" s="27"/>
      <c r="J729" s="19"/>
      <c r="K729" s="20"/>
    </row>
    <row r="730">
      <c r="A730" s="27"/>
      <c r="J730" s="19"/>
      <c r="K730" s="20"/>
    </row>
    <row r="731">
      <c r="A731" s="27"/>
      <c r="J731" s="19"/>
      <c r="K731" s="20"/>
    </row>
    <row r="732">
      <c r="A732" s="27"/>
      <c r="J732" s="19"/>
      <c r="K732" s="20"/>
    </row>
    <row r="733">
      <c r="A733" s="27"/>
      <c r="J733" s="19"/>
      <c r="K733" s="20"/>
    </row>
    <row r="734">
      <c r="A734" s="27"/>
      <c r="J734" s="19"/>
      <c r="K734" s="20"/>
    </row>
    <row r="735">
      <c r="A735" s="27"/>
      <c r="J735" s="19"/>
      <c r="K735" s="20"/>
    </row>
    <row r="736">
      <c r="A736" s="27"/>
      <c r="J736" s="19"/>
      <c r="K736" s="20"/>
    </row>
    <row r="737">
      <c r="A737" s="27"/>
      <c r="J737" s="19"/>
      <c r="K737" s="20"/>
    </row>
    <row r="738">
      <c r="A738" s="27"/>
      <c r="J738" s="19"/>
      <c r="K738" s="20"/>
    </row>
    <row r="739">
      <c r="A739" s="27"/>
      <c r="J739" s="19"/>
      <c r="K739" s="20"/>
    </row>
    <row r="740">
      <c r="A740" s="27"/>
      <c r="J740" s="19"/>
      <c r="K740" s="20"/>
    </row>
    <row r="741">
      <c r="A741" s="27"/>
      <c r="J741" s="19"/>
      <c r="K741" s="20"/>
    </row>
    <row r="742">
      <c r="A742" s="27"/>
      <c r="J742" s="19"/>
      <c r="K742" s="20"/>
    </row>
    <row r="743">
      <c r="A743" s="27"/>
      <c r="J743" s="19"/>
      <c r="K743" s="20"/>
    </row>
    <row r="744">
      <c r="A744" s="27"/>
      <c r="J744" s="19"/>
      <c r="K744" s="20"/>
    </row>
    <row r="745">
      <c r="A745" s="27"/>
      <c r="J745" s="19"/>
      <c r="K745" s="20"/>
    </row>
    <row r="746">
      <c r="A746" s="27"/>
      <c r="J746" s="19"/>
      <c r="K746" s="20"/>
    </row>
    <row r="747">
      <c r="A747" s="27"/>
      <c r="J747" s="19"/>
      <c r="K747" s="20"/>
    </row>
    <row r="748">
      <c r="A748" s="27"/>
      <c r="J748" s="19"/>
      <c r="K748" s="20"/>
    </row>
    <row r="749">
      <c r="A749" s="27"/>
      <c r="J749" s="19"/>
      <c r="K749" s="20"/>
    </row>
    <row r="750">
      <c r="A750" s="27"/>
      <c r="J750" s="19"/>
      <c r="K750" s="20"/>
    </row>
    <row r="751">
      <c r="A751" s="27"/>
      <c r="J751" s="19"/>
      <c r="K751" s="20"/>
    </row>
    <row r="752">
      <c r="A752" s="27"/>
      <c r="J752" s="19"/>
      <c r="K752" s="20"/>
    </row>
    <row r="753">
      <c r="A753" s="27"/>
      <c r="J753" s="19"/>
      <c r="K753" s="20"/>
    </row>
    <row r="754">
      <c r="A754" s="27"/>
      <c r="J754" s="19"/>
      <c r="K754" s="20"/>
    </row>
    <row r="755">
      <c r="A755" s="27"/>
      <c r="J755" s="19"/>
      <c r="K755" s="20"/>
    </row>
    <row r="756">
      <c r="A756" s="27"/>
      <c r="J756" s="19"/>
      <c r="K756" s="20"/>
    </row>
    <row r="757">
      <c r="A757" s="27"/>
      <c r="J757" s="19"/>
      <c r="K757" s="20"/>
    </row>
    <row r="758">
      <c r="A758" s="27"/>
      <c r="J758" s="19"/>
      <c r="K758" s="20"/>
    </row>
    <row r="759">
      <c r="A759" s="27"/>
      <c r="J759" s="19"/>
      <c r="K759" s="20"/>
    </row>
    <row r="760">
      <c r="A760" s="27"/>
      <c r="J760" s="19"/>
      <c r="K760" s="20"/>
    </row>
    <row r="761">
      <c r="A761" s="27"/>
      <c r="J761" s="19"/>
      <c r="K761" s="20"/>
    </row>
    <row r="762">
      <c r="A762" s="27"/>
      <c r="J762" s="19"/>
      <c r="K762" s="20"/>
    </row>
    <row r="763">
      <c r="A763" s="27"/>
      <c r="J763" s="19"/>
      <c r="K763" s="20"/>
    </row>
    <row r="764">
      <c r="A764" s="27"/>
      <c r="J764" s="19"/>
      <c r="K764" s="20"/>
    </row>
    <row r="765">
      <c r="A765" s="27"/>
      <c r="J765" s="19"/>
      <c r="K765" s="20"/>
    </row>
    <row r="766">
      <c r="A766" s="27"/>
      <c r="J766" s="19"/>
      <c r="K766" s="20"/>
    </row>
    <row r="767">
      <c r="A767" s="27"/>
      <c r="J767" s="19"/>
      <c r="K767" s="20"/>
    </row>
    <row r="768">
      <c r="A768" s="27"/>
      <c r="J768" s="19"/>
      <c r="K768" s="20"/>
    </row>
    <row r="769">
      <c r="A769" s="27"/>
      <c r="J769" s="19"/>
      <c r="K769" s="20"/>
    </row>
    <row r="770">
      <c r="A770" s="27"/>
      <c r="J770" s="19"/>
      <c r="K770" s="20"/>
    </row>
    <row r="771">
      <c r="A771" s="27"/>
      <c r="J771" s="19"/>
      <c r="K771" s="20"/>
    </row>
    <row r="772">
      <c r="A772" s="27"/>
      <c r="J772" s="19"/>
      <c r="K772" s="20"/>
    </row>
    <row r="773">
      <c r="A773" s="27"/>
      <c r="J773" s="19"/>
      <c r="K773" s="20"/>
    </row>
    <row r="774">
      <c r="A774" s="27"/>
      <c r="J774" s="19"/>
      <c r="K774" s="20"/>
    </row>
    <row r="775">
      <c r="A775" s="27"/>
      <c r="J775" s="19"/>
      <c r="K775" s="20"/>
    </row>
    <row r="776">
      <c r="A776" s="27"/>
      <c r="J776" s="19"/>
      <c r="K776" s="20"/>
    </row>
    <row r="777">
      <c r="A777" s="27"/>
      <c r="J777" s="19"/>
      <c r="K777" s="20"/>
    </row>
    <row r="778">
      <c r="A778" s="27"/>
      <c r="J778" s="19"/>
      <c r="K778" s="20"/>
    </row>
    <row r="779">
      <c r="A779" s="27"/>
      <c r="J779" s="19"/>
      <c r="K779" s="20"/>
    </row>
    <row r="780">
      <c r="A780" s="27"/>
      <c r="J780" s="19"/>
      <c r="K780" s="20"/>
    </row>
    <row r="781">
      <c r="A781" s="27"/>
      <c r="J781" s="19"/>
      <c r="K781" s="20"/>
    </row>
    <row r="782">
      <c r="A782" s="27"/>
      <c r="J782" s="19"/>
      <c r="K782" s="20"/>
    </row>
    <row r="783">
      <c r="A783" s="27"/>
      <c r="J783" s="19"/>
      <c r="K783" s="20"/>
    </row>
    <row r="784">
      <c r="A784" s="27"/>
      <c r="J784" s="19"/>
      <c r="K784" s="20"/>
    </row>
    <row r="785">
      <c r="A785" s="27"/>
      <c r="J785" s="19"/>
      <c r="K785" s="20"/>
    </row>
    <row r="786">
      <c r="A786" s="27"/>
      <c r="J786" s="19"/>
      <c r="K786" s="20"/>
    </row>
    <row r="787">
      <c r="A787" s="27"/>
      <c r="J787" s="19"/>
      <c r="K787" s="20"/>
    </row>
    <row r="788">
      <c r="A788" s="27"/>
      <c r="J788" s="19"/>
      <c r="K788" s="20"/>
    </row>
    <row r="789">
      <c r="A789" s="27"/>
      <c r="J789" s="19"/>
      <c r="K789" s="20"/>
    </row>
    <row r="790">
      <c r="A790" s="27"/>
      <c r="J790" s="19"/>
      <c r="K790" s="20"/>
    </row>
    <row r="791">
      <c r="A791" s="27"/>
      <c r="J791" s="19"/>
      <c r="K791" s="20"/>
    </row>
    <row r="792">
      <c r="A792" s="27"/>
      <c r="J792" s="19"/>
      <c r="K792" s="20"/>
    </row>
    <row r="793">
      <c r="A793" s="27"/>
      <c r="J793" s="19"/>
      <c r="K793" s="20"/>
    </row>
    <row r="794">
      <c r="A794" s="27"/>
      <c r="J794" s="19"/>
      <c r="K794" s="20"/>
    </row>
    <row r="795">
      <c r="A795" s="27"/>
      <c r="J795" s="19"/>
      <c r="K795" s="20"/>
    </row>
    <row r="796">
      <c r="A796" s="27"/>
      <c r="J796" s="19"/>
      <c r="K796" s="20"/>
    </row>
    <row r="797">
      <c r="A797" s="27"/>
      <c r="J797" s="19"/>
      <c r="K797" s="20"/>
    </row>
    <row r="798">
      <c r="A798" s="27"/>
      <c r="J798" s="19"/>
      <c r="K798" s="20"/>
    </row>
    <row r="799">
      <c r="A799" s="27"/>
      <c r="J799" s="19"/>
      <c r="K799" s="20"/>
    </row>
    <row r="800">
      <c r="A800" s="27"/>
      <c r="J800" s="19"/>
      <c r="K800" s="20"/>
    </row>
    <row r="801">
      <c r="A801" s="27"/>
      <c r="J801" s="19"/>
      <c r="K801" s="20"/>
    </row>
    <row r="802">
      <c r="A802" s="27"/>
      <c r="J802" s="19"/>
      <c r="K802" s="20"/>
    </row>
    <row r="803">
      <c r="A803" s="27"/>
      <c r="J803" s="19"/>
      <c r="K803" s="20"/>
    </row>
    <row r="804">
      <c r="A804" s="27"/>
      <c r="J804" s="19"/>
      <c r="K804" s="20"/>
    </row>
    <row r="805">
      <c r="A805" s="27"/>
      <c r="J805" s="19"/>
      <c r="K805" s="20"/>
    </row>
    <row r="806">
      <c r="A806" s="27"/>
      <c r="J806" s="19"/>
      <c r="K806" s="20"/>
    </row>
    <row r="807">
      <c r="A807" s="27"/>
      <c r="J807" s="19"/>
      <c r="K807" s="20"/>
    </row>
    <row r="808">
      <c r="A808" s="27"/>
      <c r="J808" s="19"/>
      <c r="K808" s="20"/>
    </row>
    <row r="809">
      <c r="A809" s="27"/>
      <c r="J809" s="19"/>
      <c r="K809" s="20"/>
    </row>
    <row r="810">
      <c r="A810" s="27"/>
      <c r="J810" s="19"/>
      <c r="K810" s="20"/>
    </row>
    <row r="811">
      <c r="A811" s="27"/>
      <c r="J811" s="19"/>
      <c r="K811" s="20"/>
    </row>
    <row r="812">
      <c r="A812" s="27"/>
      <c r="J812" s="19"/>
      <c r="K812" s="20"/>
    </row>
    <row r="813">
      <c r="A813" s="27"/>
      <c r="J813" s="19"/>
      <c r="K813" s="20"/>
    </row>
    <row r="814">
      <c r="A814" s="27"/>
      <c r="J814" s="19"/>
      <c r="K814" s="20"/>
    </row>
    <row r="815">
      <c r="A815" s="27"/>
      <c r="J815" s="19"/>
      <c r="K815" s="20"/>
    </row>
    <row r="816">
      <c r="A816" s="27"/>
      <c r="J816" s="19"/>
      <c r="K816" s="20"/>
    </row>
    <row r="817">
      <c r="A817" s="27"/>
      <c r="J817" s="19"/>
      <c r="K817" s="20"/>
    </row>
    <row r="818">
      <c r="A818" s="27"/>
      <c r="J818" s="19"/>
      <c r="K818" s="20"/>
    </row>
    <row r="819">
      <c r="A819" s="27"/>
      <c r="J819" s="19"/>
      <c r="K819" s="20"/>
    </row>
    <row r="820">
      <c r="A820" s="27"/>
      <c r="J820" s="19"/>
      <c r="K820" s="20"/>
    </row>
    <row r="821">
      <c r="A821" s="27"/>
      <c r="J821" s="19"/>
      <c r="K821" s="20"/>
    </row>
    <row r="822">
      <c r="A822" s="27"/>
      <c r="J822" s="19"/>
      <c r="K822" s="20"/>
    </row>
    <row r="823">
      <c r="A823" s="27"/>
      <c r="J823" s="19"/>
      <c r="K823" s="20"/>
    </row>
    <row r="824">
      <c r="A824" s="27"/>
      <c r="J824" s="19"/>
      <c r="K824" s="20"/>
    </row>
    <row r="825">
      <c r="A825" s="27"/>
      <c r="J825" s="19"/>
      <c r="K825" s="20"/>
    </row>
    <row r="826">
      <c r="A826" s="27"/>
      <c r="J826" s="19"/>
      <c r="K826" s="20"/>
    </row>
    <row r="827">
      <c r="A827" s="27"/>
      <c r="J827" s="19"/>
      <c r="K827" s="20"/>
    </row>
    <row r="828">
      <c r="A828" s="27"/>
      <c r="J828" s="19"/>
      <c r="K828" s="20"/>
    </row>
    <row r="829">
      <c r="A829" s="27"/>
      <c r="J829" s="19"/>
      <c r="K829" s="20"/>
    </row>
    <row r="830">
      <c r="A830" s="27"/>
      <c r="J830" s="19"/>
      <c r="K830" s="20"/>
    </row>
    <row r="831">
      <c r="A831" s="27"/>
      <c r="J831" s="19"/>
      <c r="K831" s="20"/>
    </row>
    <row r="832">
      <c r="A832" s="27"/>
      <c r="J832" s="19"/>
      <c r="K832" s="20"/>
    </row>
    <row r="833">
      <c r="A833" s="27"/>
      <c r="J833" s="19"/>
      <c r="K833" s="20"/>
    </row>
    <row r="834">
      <c r="A834" s="27"/>
      <c r="J834" s="19"/>
      <c r="K834" s="20"/>
    </row>
    <row r="835">
      <c r="A835" s="27"/>
      <c r="J835" s="19"/>
      <c r="K835" s="20"/>
    </row>
    <row r="836">
      <c r="A836" s="27"/>
      <c r="J836" s="19"/>
      <c r="K836" s="20"/>
    </row>
    <row r="837">
      <c r="A837" s="27"/>
      <c r="J837" s="19"/>
      <c r="K837" s="20"/>
    </row>
    <row r="838">
      <c r="A838" s="27"/>
      <c r="J838" s="19"/>
      <c r="K838" s="20"/>
    </row>
    <row r="839">
      <c r="A839" s="27"/>
      <c r="J839" s="19"/>
      <c r="K839" s="20"/>
    </row>
    <row r="840">
      <c r="A840" s="27"/>
      <c r="J840" s="19"/>
      <c r="K840" s="20"/>
    </row>
    <row r="841">
      <c r="A841" s="27"/>
      <c r="J841" s="19"/>
      <c r="K841" s="20"/>
    </row>
    <row r="842">
      <c r="A842" s="27"/>
      <c r="J842" s="19"/>
      <c r="K842" s="20"/>
    </row>
    <row r="843">
      <c r="A843" s="27"/>
      <c r="J843" s="19"/>
      <c r="K843" s="20"/>
    </row>
    <row r="844">
      <c r="A844" s="27"/>
      <c r="J844" s="19"/>
      <c r="K844" s="20"/>
    </row>
    <row r="845">
      <c r="A845" s="27"/>
      <c r="J845" s="19"/>
      <c r="K845" s="20"/>
    </row>
    <row r="846">
      <c r="A846" s="27"/>
      <c r="J846" s="19"/>
      <c r="K846" s="20"/>
    </row>
    <row r="847">
      <c r="A847" s="27"/>
      <c r="J847" s="19"/>
      <c r="K847" s="20"/>
    </row>
    <row r="848">
      <c r="A848" s="27"/>
      <c r="J848" s="19"/>
      <c r="K848" s="20"/>
    </row>
    <row r="849">
      <c r="A849" s="27"/>
      <c r="J849" s="19"/>
      <c r="K849" s="20"/>
    </row>
    <row r="850">
      <c r="A850" s="27"/>
      <c r="J850" s="19"/>
      <c r="K850" s="20"/>
    </row>
    <row r="851">
      <c r="A851" s="27"/>
      <c r="J851" s="19"/>
      <c r="K851" s="20"/>
    </row>
    <row r="852">
      <c r="A852" s="27"/>
      <c r="J852" s="19"/>
      <c r="K852" s="20"/>
    </row>
    <row r="853">
      <c r="A853" s="27"/>
      <c r="J853" s="19"/>
      <c r="K853" s="20"/>
    </row>
    <row r="854">
      <c r="A854" s="27"/>
      <c r="J854" s="19"/>
      <c r="K854" s="20"/>
    </row>
    <row r="855">
      <c r="A855" s="27"/>
      <c r="J855" s="19"/>
      <c r="K855" s="20"/>
    </row>
    <row r="856">
      <c r="A856" s="27"/>
      <c r="J856" s="19"/>
      <c r="K856" s="20"/>
    </row>
    <row r="857">
      <c r="A857" s="27"/>
      <c r="J857" s="19"/>
      <c r="K857" s="20"/>
    </row>
    <row r="858">
      <c r="A858" s="27"/>
      <c r="J858" s="19"/>
      <c r="K858" s="20"/>
    </row>
    <row r="859">
      <c r="A859" s="27"/>
      <c r="J859" s="19"/>
      <c r="K859" s="20"/>
    </row>
    <row r="860">
      <c r="A860" s="27"/>
      <c r="J860" s="19"/>
      <c r="K860" s="20"/>
    </row>
    <row r="861">
      <c r="A861" s="27"/>
      <c r="J861" s="19"/>
      <c r="K861" s="20"/>
    </row>
    <row r="862">
      <c r="A862" s="27"/>
      <c r="J862" s="19"/>
      <c r="K862" s="20"/>
    </row>
    <row r="863">
      <c r="A863" s="27"/>
      <c r="J863" s="19"/>
      <c r="K863" s="20"/>
    </row>
    <row r="864">
      <c r="A864" s="27"/>
      <c r="J864" s="19"/>
      <c r="K864" s="20"/>
    </row>
    <row r="865">
      <c r="A865" s="27"/>
      <c r="J865" s="19"/>
      <c r="K865" s="20"/>
    </row>
    <row r="866">
      <c r="A866" s="27"/>
      <c r="J866" s="19"/>
      <c r="K866" s="20"/>
    </row>
    <row r="867">
      <c r="A867" s="27"/>
      <c r="J867" s="19"/>
      <c r="K867" s="20"/>
    </row>
    <row r="868">
      <c r="A868" s="27"/>
      <c r="J868" s="19"/>
      <c r="K868" s="20"/>
    </row>
    <row r="869">
      <c r="A869" s="27"/>
      <c r="J869" s="19"/>
      <c r="K869" s="20"/>
    </row>
    <row r="870">
      <c r="A870" s="27"/>
      <c r="J870" s="19"/>
      <c r="K870" s="20"/>
    </row>
    <row r="871">
      <c r="A871" s="27"/>
      <c r="J871" s="19"/>
      <c r="K871" s="20"/>
    </row>
    <row r="872">
      <c r="A872" s="27"/>
      <c r="J872" s="19"/>
      <c r="K872" s="20"/>
    </row>
    <row r="873">
      <c r="A873" s="27"/>
      <c r="J873" s="19"/>
      <c r="K873" s="20"/>
    </row>
    <row r="874">
      <c r="A874" s="27"/>
      <c r="J874" s="19"/>
      <c r="K874" s="20"/>
    </row>
    <row r="875">
      <c r="A875" s="27"/>
      <c r="J875" s="19"/>
      <c r="K875" s="20"/>
    </row>
    <row r="876">
      <c r="A876" s="27"/>
      <c r="J876" s="19"/>
      <c r="K876" s="20"/>
    </row>
    <row r="877">
      <c r="A877" s="27"/>
      <c r="J877" s="19"/>
      <c r="K877" s="20"/>
    </row>
    <row r="878">
      <c r="A878" s="27"/>
      <c r="J878" s="19"/>
      <c r="K878" s="20"/>
    </row>
    <row r="879">
      <c r="A879" s="27"/>
      <c r="J879" s="19"/>
      <c r="K879" s="20"/>
    </row>
    <row r="880">
      <c r="A880" s="27"/>
      <c r="J880" s="19"/>
      <c r="K880" s="20"/>
    </row>
    <row r="881">
      <c r="A881" s="27"/>
      <c r="J881" s="19"/>
      <c r="K881" s="20"/>
    </row>
    <row r="882">
      <c r="A882" s="27"/>
      <c r="J882" s="19"/>
      <c r="K882" s="20"/>
    </row>
    <row r="883">
      <c r="A883" s="27"/>
      <c r="J883" s="19"/>
      <c r="K883" s="20"/>
    </row>
    <row r="884">
      <c r="A884" s="27"/>
      <c r="J884" s="19"/>
      <c r="K884" s="20"/>
    </row>
    <row r="885">
      <c r="A885" s="27"/>
      <c r="J885" s="19"/>
      <c r="K885" s="20"/>
    </row>
    <row r="886">
      <c r="A886" s="27"/>
      <c r="J886" s="19"/>
      <c r="K886" s="20"/>
    </row>
    <row r="887">
      <c r="A887" s="27"/>
      <c r="J887" s="19"/>
      <c r="K887" s="20"/>
    </row>
    <row r="888">
      <c r="A888" s="27"/>
      <c r="J888" s="19"/>
      <c r="K888" s="20"/>
    </row>
    <row r="889">
      <c r="A889" s="27"/>
      <c r="J889" s="19"/>
      <c r="K889" s="20"/>
    </row>
    <row r="890">
      <c r="A890" s="27"/>
      <c r="J890" s="19"/>
      <c r="K890" s="20"/>
    </row>
    <row r="891">
      <c r="A891" s="27"/>
      <c r="J891" s="19"/>
      <c r="K891" s="20"/>
    </row>
    <row r="892">
      <c r="A892" s="27"/>
      <c r="J892" s="19"/>
      <c r="K892" s="20"/>
    </row>
    <row r="893">
      <c r="A893" s="27"/>
      <c r="J893" s="19"/>
      <c r="K893" s="20"/>
    </row>
    <row r="894">
      <c r="A894" s="27"/>
      <c r="J894" s="19"/>
      <c r="K894" s="20"/>
    </row>
    <row r="895">
      <c r="A895" s="27"/>
      <c r="J895" s="19"/>
      <c r="K895" s="20"/>
    </row>
    <row r="896">
      <c r="A896" s="27"/>
      <c r="J896" s="19"/>
      <c r="K896" s="20"/>
    </row>
    <row r="897">
      <c r="A897" s="27"/>
      <c r="J897" s="19"/>
      <c r="K897" s="20"/>
    </row>
    <row r="898">
      <c r="A898" s="27"/>
      <c r="J898" s="19"/>
      <c r="K898" s="20"/>
    </row>
    <row r="899">
      <c r="A899" s="27"/>
      <c r="J899" s="19"/>
      <c r="K899" s="20"/>
    </row>
    <row r="900">
      <c r="A900" s="27"/>
      <c r="J900" s="19"/>
      <c r="K900" s="20"/>
    </row>
    <row r="901">
      <c r="A901" s="27"/>
      <c r="J901" s="19"/>
      <c r="K901" s="20"/>
    </row>
    <row r="902">
      <c r="A902" s="27"/>
      <c r="J902" s="19"/>
      <c r="K902" s="20"/>
    </row>
    <row r="903">
      <c r="A903" s="27"/>
      <c r="J903" s="19"/>
      <c r="K903" s="20"/>
    </row>
    <row r="904">
      <c r="A904" s="27"/>
      <c r="J904" s="19"/>
      <c r="K904" s="20"/>
    </row>
    <row r="905">
      <c r="A905" s="27"/>
      <c r="J905" s="19"/>
      <c r="K905" s="20"/>
    </row>
    <row r="906">
      <c r="A906" s="27"/>
      <c r="J906" s="19"/>
      <c r="K906" s="20"/>
    </row>
    <row r="907">
      <c r="A907" s="27"/>
      <c r="J907" s="19"/>
      <c r="K907" s="20"/>
    </row>
    <row r="908">
      <c r="A908" s="27"/>
      <c r="J908" s="19"/>
      <c r="K908" s="20"/>
    </row>
    <row r="909">
      <c r="A909" s="27"/>
      <c r="J909" s="19"/>
      <c r="K909" s="20"/>
    </row>
    <row r="910">
      <c r="A910" s="27"/>
      <c r="J910" s="19"/>
      <c r="K910" s="20"/>
    </row>
    <row r="911">
      <c r="A911" s="27"/>
      <c r="J911" s="19"/>
      <c r="K911" s="20"/>
    </row>
    <row r="912">
      <c r="A912" s="27"/>
      <c r="J912" s="19"/>
      <c r="K912" s="20"/>
    </row>
    <row r="913">
      <c r="A913" s="27"/>
      <c r="J913" s="19"/>
      <c r="K913" s="20"/>
    </row>
    <row r="914">
      <c r="A914" s="27"/>
      <c r="J914" s="19"/>
      <c r="K914" s="20"/>
    </row>
    <row r="915">
      <c r="A915" s="27"/>
      <c r="J915" s="19"/>
      <c r="K915" s="20"/>
    </row>
    <row r="916">
      <c r="A916" s="27"/>
      <c r="J916" s="19"/>
      <c r="K916" s="20"/>
    </row>
    <row r="917">
      <c r="A917" s="27"/>
      <c r="J917" s="19"/>
      <c r="K917" s="20"/>
    </row>
    <row r="918">
      <c r="A918" s="27"/>
      <c r="J918" s="19"/>
      <c r="K918" s="20"/>
    </row>
    <row r="919">
      <c r="A919" s="27"/>
      <c r="J919" s="19"/>
      <c r="K919" s="20"/>
    </row>
    <row r="920">
      <c r="A920" s="27"/>
      <c r="J920" s="19"/>
      <c r="K920" s="20"/>
    </row>
    <row r="921">
      <c r="A921" s="27"/>
      <c r="J921" s="19"/>
      <c r="K921" s="20"/>
    </row>
    <row r="922">
      <c r="A922" s="27"/>
      <c r="J922" s="19"/>
      <c r="K922" s="20"/>
    </row>
    <row r="923">
      <c r="A923" s="27"/>
      <c r="J923" s="19"/>
      <c r="K923" s="20"/>
    </row>
    <row r="924">
      <c r="A924" s="27"/>
      <c r="J924" s="19"/>
      <c r="K924" s="20"/>
    </row>
    <row r="925">
      <c r="A925" s="27"/>
      <c r="J925" s="19"/>
      <c r="K925" s="20"/>
    </row>
    <row r="926">
      <c r="A926" s="27"/>
      <c r="J926" s="19"/>
      <c r="K926" s="20"/>
    </row>
    <row r="927">
      <c r="A927" s="27"/>
      <c r="J927" s="19"/>
      <c r="K927" s="20"/>
    </row>
    <row r="928">
      <c r="A928" s="27"/>
      <c r="J928" s="19"/>
      <c r="K928" s="20"/>
    </row>
    <row r="929">
      <c r="A929" s="27"/>
      <c r="J929" s="19"/>
      <c r="K929" s="20"/>
    </row>
    <row r="930">
      <c r="A930" s="27"/>
      <c r="J930" s="19"/>
      <c r="K930" s="20"/>
    </row>
    <row r="931">
      <c r="A931" s="27"/>
      <c r="J931" s="19"/>
      <c r="K931" s="20"/>
    </row>
    <row r="932">
      <c r="A932" s="27"/>
      <c r="J932" s="19"/>
      <c r="K932" s="20"/>
    </row>
    <row r="933">
      <c r="A933" s="27"/>
      <c r="J933" s="19"/>
      <c r="K933" s="20"/>
    </row>
    <row r="934">
      <c r="A934" s="27"/>
      <c r="J934" s="19"/>
      <c r="K934" s="20"/>
    </row>
    <row r="935">
      <c r="A935" s="27"/>
      <c r="J935" s="19"/>
      <c r="K935" s="20"/>
    </row>
    <row r="936">
      <c r="A936" s="27"/>
      <c r="J936" s="19"/>
      <c r="K936" s="20"/>
    </row>
    <row r="937">
      <c r="A937" s="27"/>
      <c r="J937" s="19"/>
      <c r="K937" s="20"/>
    </row>
    <row r="938">
      <c r="A938" s="27"/>
      <c r="J938" s="19"/>
      <c r="K938" s="20"/>
    </row>
    <row r="939">
      <c r="A939" s="27"/>
      <c r="J939" s="19"/>
      <c r="K939" s="20"/>
    </row>
    <row r="940">
      <c r="A940" s="27"/>
      <c r="J940" s="19"/>
      <c r="K940" s="20"/>
    </row>
    <row r="941">
      <c r="A941" s="27"/>
      <c r="J941" s="19"/>
      <c r="K941" s="20"/>
    </row>
    <row r="942">
      <c r="A942" s="27"/>
      <c r="J942" s="19"/>
      <c r="K942" s="20"/>
    </row>
    <row r="943">
      <c r="A943" s="27"/>
      <c r="J943" s="19"/>
      <c r="K943" s="20"/>
    </row>
    <row r="944">
      <c r="A944" s="27"/>
      <c r="J944" s="19"/>
      <c r="K944" s="20"/>
    </row>
    <row r="945">
      <c r="A945" s="27"/>
      <c r="J945" s="19"/>
      <c r="K945" s="20"/>
    </row>
    <row r="946">
      <c r="A946" s="27"/>
      <c r="J946" s="19"/>
      <c r="K946" s="20"/>
    </row>
    <row r="947">
      <c r="A947" s="27"/>
      <c r="J947" s="19"/>
      <c r="K947" s="20"/>
    </row>
    <row r="948">
      <c r="A948" s="27"/>
      <c r="J948" s="19"/>
      <c r="K948" s="20"/>
    </row>
    <row r="949">
      <c r="A949" s="27"/>
      <c r="J949" s="19"/>
      <c r="K949" s="20"/>
    </row>
    <row r="950">
      <c r="A950" s="27"/>
      <c r="J950" s="19"/>
      <c r="K950" s="20"/>
    </row>
    <row r="951">
      <c r="A951" s="27"/>
      <c r="J951" s="19"/>
      <c r="K951" s="20"/>
    </row>
    <row r="952">
      <c r="A952" s="27"/>
      <c r="J952" s="19"/>
      <c r="K952" s="20"/>
    </row>
    <row r="953">
      <c r="A953" s="27"/>
      <c r="J953" s="19"/>
      <c r="K953" s="20"/>
    </row>
    <row r="954">
      <c r="A954" s="27"/>
      <c r="J954" s="19"/>
      <c r="K954" s="20"/>
    </row>
    <row r="955">
      <c r="A955" s="27"/>
      <c r="J955" s="19"/>
      <c r="K955" s="20"/>
    </row>
    <row r="956">
      <c r="A956" s="27"/>
      <c r="J956" s="19"/>
      <c r="K956" s="20"/>
    </row>
    <row r="957">
      <c r="A957" s="27"/>
      <c r="J957" s="19"/>
      <c r="K957" s="20"/>
    </row>
    <row r="958">
      <c r="A958" s="27"/>
      <c r="J958" s="19"/>
      <c r="K958" s="20"/>
    </row>
    <row r="959">
      <c r="A959" s="27"/>
      <c r="J959" s="19"/>
      <c r="K959" s="20"/>
    </row>
    <row r="960">
      <c r="A960" s="27"/>
      <c r="J960" s="19"/>
      <c r="K960" s="20"/>
    </row>
    <row r="961">
      <c r="A961" s="27"/>
      <c r="J961" s="19"/>
      <c r="K961" s="20"/>
    </row>
    <row r="962">
      <c r="A962" s="27"/>
      <c r="J962" s="19"/>
      <c r="K962" s="20"/>
    </row>
    <row r="963">
      <c r="A963" s="27"/>
      <c r="J963" s="19"/>
      <c r="K963" s="20"/>
    </row>
    <row r="964">
      <c r="A964" s="27"/>
      <c r="J964" s="19"/>
      <c r="K964" s="20"/>
    </row>
    <row r="965">
      <c r="A965" s="27"/>
      <c r="J965" s="19"/>
      <c r="K965" s="20"/>
    </row>
    <row r="966">
      <c r="A966" s="27"/>
      <c r="J966" s="19"/>
      <c r="K966" s="20"/>
    </row>
    <row r="967">
      <c r="A967" s="27"/>
      <c r="J967" s="19"/>
      <c r="K967" s="20"/>
    </row>
    <row r="968">
      <c r="A968" s="27"/>
      <c r="J968" s="19"/>
      <c r="K968" s="20"/>
    </row>
    <row r="969">
      <c r="A969" s="27"/>
      <c r="J969" s="19"/>
      <c r="K969" s="20"/>
    </row>
    <row r="970">
      <c r="A970" s="27"/>
      <c r="J970" s="19"/>
      <c r="K970" s="20"/>
    </row>
    <row r="971">
      <c r="A971" s="27"/>
      <c r="J971" s="19"/>
      <c r="K971" s="20"/>
    </row>
    <row r="972">
      <c r="A972" s="27"/>
      <c r="J972" s="19"/>
      <c r="K972" s="20"/>
    </row>
    <row r="973">
      <c r="A973" s="27"/>
      <c r="J973" s="19"/>
      <c r="K973" s="20"/>
    </row>
    <row r="974">
      <c r="A974" s="27"/>
      <c r="J974" s="19"/>
      <c r="K974" s="20"/>
    </row>
    <row r="975">
      <c r="A975" s="27"/>
      <c r="J975" s="19"/>
      <c r="K975" s="20"/>
    </row>
    <row r="976">
      <c r="A976" s="27"/>
      <c r="J976" s="19"/>
      <c r="K976" s="20"/>
    </row>
    <row r="977">
      <c r="A977" s="27"/>
      <c r="J977" s="19"/>
      <c r="K977" s="20"/>
    </row>
    <row r="978">
      <c r="A978" s="27"/>
      <c r="J978" s="19"/>
      <c r="K978" s="20"/>
    </row>
    <row r="979">
      <c r="A979" s="27"/>
      <c r="J979" s="19"/>
      <c r="K979" s="20"/>
    </row>
    <row r="980">
      <c r="A980" s="27"/>
      <c r="J980" s="19"/>
      <c r="K980" s="20"/>
    </row>
    <row r="981">
      <c r="A981" s="27"/>
      <c r="J981" s="19"/>
      <c r="K981" s="20"/>
    </row>
    <row r="982">
      <c r="A982" s="27"/>
      <c r="J982" s="19"/>
      <c r="K982" s="20"/>
    </row>
    <row r="983">
      <c r="A983" s="27"/>
      <c r="J983" s="19"/>
      <c r="K983" s="20"/>
    </row>
    <row r="984">
      <c r="A984" s="27"/>
      <c r="J984" s="19"/>
      <c r="K984" s="20"/>
    </row>
    <row r="985">
      <c r="A985" s="27"/>
      <c r="J985" s="19"/>
      <c r="K985" s="20"/>
    </row>
    <row r="986">
      <c r="A986" s="27"/>
      <c r="J986" s="19"/>
      <c r="K986" s="20"/>
    </row>
    <row r="987">
      <c r="A987" s="27"/>
      <c r="J987" s="19"/>
      <c r="K987" s="20"/>
    </row>
    <row r="988">
      <c r="A988" s="27"/>
      <c r="J988" s="19"/>
      <c r="K988" s="20"/>
    </row>
    <row r="989">
      <c r="A989" s="27"/>
      <c r="J989" s="19"/>
      <c r="K989" s="20"/>
    </row>
    <row r="990">
      <c r="A990" s="27"/>
      <c r="J990" s="19"/>
      <c r="K990" s="20"/>
    </row>
    <row r="991">
      <c r="A991" s="27"/>
      <c r="J991" s="19"/>
      <c r="K991" s="20"/>
    </row>
    <row r="992">
      <c r="A992" s="27"/>
      <c r="J992" s="19"/>
      <c r="K992" s="20"/>
    </row>
    <row r="993">
      <c r="A993" s="27"/>
      <c r="J993" s="19"/>
      <c r="K993" s="20"/>
    </row>
    <row r="994">
      <c r="A994" s="27"/>
      <c r="J994" s="19"/>
      <c r="K994" s="20"/>
    </row>
    <row r="995">
      <c r="A995" s="27"/>
      <c r="J995" s="19"/>
      <c r="K995" s="20"/>
    </row>
    <row r="996">
      <c r="A996" s="27"/>
      <c r="J996" s="19"/>
      <c r="K996" s="20"/>
    </row>
    <row r="997">
      <c r="A997" s="27"/>
      <c r="J997" s="19"/>
      <c r="K997" s="20"/>
    </row>
    <row r="998">
      <c r="A998" s="27"/>
      <c r="J998" s="19"/>
      <c r="K998" s="20"/>
    </row>
    <row r="999">
      <c r="A999" s="27"/>
      <c r="J999" s="19"/>
      <c r="K999" s="20"/>
    </row>
    <row r="1000">
      <c r="A1000" s="27"/>
      <c r="J1000" s="19"/>
      <c r="K1000" s="20"/>
    </row>
  </sheetData>
  <mergeCells count="1">
    <mergeCell ref="A1:U1"/>
  </mergeCells>
  <drawing r:id="rId1"/>
</worksheet>
</file>